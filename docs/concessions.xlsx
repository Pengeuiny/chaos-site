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 Dates" sheetId="1" r:id="rId5"/>
    <sheet state="visible" name="Sheet7" sheetId="2" r:id="rId6"/>
    <sheet state="visible" name="Great Gatsby" sheetId="3" r:id="rId7"/>
    <sheet state="visible" name="Ice Cream Social" sheetId="4" r:id="rId8"/>
    <sheet state="visible" name="Alice by Heart" sheetId="5" r:id="rId9"/>
    <sheet state="visible" name="Hunchback" sheetId="6" r:id="rId10"/>
    <sheet state="visible" name="Misc" sheetId="7" r:id="rId11"/>
    <sheet state="visible" name="Copy of Theater Budget" sheetId="8" r:id="rId12"/>
  </sheets>
  <definedNames/>
  <calcPr/>
</workbook>
</file>

<file path=xl/sharedStrings.xml><?xml version="1.0" encoding="utf-8"?>
<sst xmlns="http://schemas.openxmlformats.org/spreadsheetml/2006/main" count="690" uniqueCount="382">
  <si>
    <t>Title</t>
  </si>
  <si>
    <t>Publix</t>
  </si>
  <si>
    <t>Merchandise</t>
  </si>
  <si>
    <t>Box Sandwiches</t>
  </si>
  <si>
    <t>Type</t>
  </si>
  <si>
    <t>Custom Cards</t>
  </si>
  <si>
    <t>~12.00/box</t>
  </si>
  <si>
    <t>Category</t>
  </si>
  <si>
    <t>~$2/pack (12)</t>
  </si>
  <si>
    <t>Event Date(s)</t>
  </si>
  <si>
    <t>Chic-fil-A</t>
  </si>
  <si>
    <t>Paper Fans</t>
  </si>
  <si>
    <t>actors/tech</t>
  </si>
  <si>
    <t>Chicken Sandwich</t>
  </si>
  <si>
    <t>~$1/fan (12)</t>
  </si>
  <si>
    <t>125/25 Sandwiches</t>
  </si>
  <si>
    <t>Finding Nemo</t>
  </si>
  <si>
    <t>Art Deco Paintings</t>
  </si>
  <si>
    <t>Pizza Hut</t>
  </si>
  <si>
    <t>Show</t>
  </si>
  <si>
    <t>~$1.50/canvas</t>
  </si>
  <si>
    <t>personal pan pizza</t>
  </si>
  <si>
    <t>Theater</t>
  </si>
  <si>
    <t>Audition Dates</t>
  </si>
  <si>
    <t>4.79/pizza</t>
  </si>
  <si>
    <t>07/24-25/2026</t>
  </si>
  <si>
    <t>Pearls</t>
  </si>
  <si>
    <t>5pm,8pm and 10am</t>
  </si>
  <si>
    <t>~$0.50/necklace</t>
  </si>
  <si>
    <t>Jersey Mikes</t>
  </si>
  <si>
    <t xml:space="preserve">Cash box, square, ludus, table, Ticket box, </t>
  </si>
  <si>
    <t>Play dates</t>
  </si>
  <si>
    <t>Turkey Provolone</t>
  </si>
  <si>
    <t>7.16/Sandwich</t>
  </si>
  <si>
    <t>Garters</t>
  </si>
  <si>
    <t>85.95/12</t>
  </si>
  <si>
    <t>~$1/garter (12)</t>
  </si>
  <si>
    <t>Tech Week</t>
  </si>
  <si>
    <t>Food</t>
  </si>
  <si>
    <t>Cracker Jacks</t>
  </si>
  <si>
    <t>~0.30/bag</t>
  </si>
  <si>
    <t>Water</t>
  </si>
  <si>
    <t>~0.20/bottle</t>
  </si>
  <si>
    <t>Coffee</t>
  </si>
  <si>
    <t>Have flyer ready to handout</t>
  </si>
  <si>
    <t>Green Lantern Drink</t>
  </si>
  <si>
    <t>~0.25/ice cube</t>
  </si>
  <si>
    <t>Shirley Temples</t>
  </si>
  <si>
    <t>Ice Cream playlist Speakers?</t>
  </si>
  <si>
    <t>Salt Water Taffy</t>
  </si>
  <si>
    <t>Aug 20th, Mineral Springs 12-4</t>
  </si>
  <si>
    <t>Pizza</t>
  </si>
  <si>
    <t>~$2/slice</t>
  </si>
  <si>
    <t xml:space="preserve">Bags game? </t>
  </si>
  <si>
    <t>Soft Pretzels</t>
  </si>
  <si>
    <t>~$1/Pretzel</t>
  </si>
  <si>
    <t>Bocce?</t>
  </si>
  <si>
    <t>Popcorn</t>
  </si>
  <si>
    <t>Sidewalk Chalk?</t>
  </si>
  <si>
    <t>fudge</t>
  </si>
  <si>
    <t>Character Dress up?</t>
  </si>
  <si>
    <t>Candy Stix</t>
  </si>
  <si>
    <t>Face painting?</t>
  </si>
  <si>
    <t>~0.30/stick</t>
  </si>
  <si>
    <t>Balloon animals?</t>
  </si>
  <si>
    <t>hoochi coochie cups</t>
  </si>
  <si>
    <t>Bubble Machine?</t>
  </si>
  <si>
    <t>carmel cremes</t>
  </si>
  <si>
    <t xml:space="preserve">Get reminders out especially to elementary and middle school </t>
  </si>
  <si>
    <t>Decor</t>
  </si>
  <si>
    <t>Posters to have outside ice cream shop?</t>
  </si>
  <si>
    <t>Black and Gold Tableclothes</t>
  </si>
  <si>
    <t>Vintage Candy Jars</t>
  </si>
  <si>
    <t>Megaphone=Ice Cream Jokes</t>
  </si>
  <si>
    <t>Gold Trays</t>
  </si>
  <si>
    <t>Deco Art Signs</t>
  </si>
  <si>
    <t>~$1.52/poster (pk 6)</t>
  </si>
  <si>
    <t>Back to School Event</t>
  </si>
  <si>
    <t>Event</t>
  </si>
  <si>
    <t>General</t>
  </si>
  <si>
    <t>Welcome Flyers</t>
  </si>
  <si>
    <t>Ice Cream Social</t>
  </si>
  <si>
    <t>Welcome Flyers Face Paint? Pay a Cone Forward?</t>
  </si>
  <si>
    <t>Heros vs Villans</t>
  </si>
  <si>
    <t>NCTS</t>
  </si>
  <si>
    <t>10/29-31/2026</t>
  </si>
  <si>
    <t xml:space="preserve">*~$50Fees for Tshirts and Picnic type lunchbox, Festival Entrance, </t>
  </si>
  <si>
    <t>Fall Concert for Chorus</t>
  </si>
  <si>
    <t>Choir</t>
  </si>
  <si>
    <t>*Bake Sale with Coffee</t>
  </si>
  <si>
    <t>The Great Gatsby</t>
  </si>
  <si>
    <t>09/12/2026 Auditions</t>
  </si>
  <si>
    <t>20/15-30</t>
  </si>
  <si>
    <t>Dues $125 for non volunteers, $100 for actors, $75 for Tech</t>
  </si>
  <si>
    <t>10/7-8/2026 Call backs</t>
  </si>
  <si>
    <t>11/09-11/2026 Tech Week</t>
  </si>
  <si>
    <t>11/12-14/2026 Show</t>
  </si>
  <si>
    <t>Southern Christmas Show*</t>
  </si>
  <si>
    <t>11/11-22/2026</t>
  </si>
  <si>
    <t>Biltmore performance*</t>
  </si>
  <si>
    <t>Revue in Reverse *</t>
  </si>
  <si>
    <t xml:space="preserve">*Dues for Tshirts, lite concessions </t>
  </si>
  <si>
    <t>or 01/7/2026 *Check date</t>
  </si>
  <si>
    <t>Alice by Heart</t>
  </si>
  <si>
    <t>12/1-2/2026 Auditions</t>
  </si>
  <si>
    <t>25/15-30</t>
  </si>
  <si>
    <t>12/10-11/2026 Show</t>
  </si>
  <si>
    <t>Holiday Bazar</t>
  </si>
  <si>
    <t>Playing Cards</t>
  </si>
  <si>
    <t>Dog tags</t>
  </si>
  <si>
    <t>12/5-6/2026</t>
  </si>
  <si>
    <t>Butterfly tea lemonade</t>
  </si>
  <si>
    <t>Italian Dinner*</t>
  </si>
  <si>
    <t>Boba tea</t>
  </si>
  <si>
    <t>Finger Sandwiches</t>
  </si>
  <si>
    <t>Eat Me Cookies</t>
  </si>
  <si>
    <t>Drink Me Drink</t>
  </si>
  <si>
    <t>Red Candies</t>
  </si>
  <si>
    <t>Dreams vs Nightmare</t>
  </si>
  <si>
    <t>Carrot Cake/Red Velvet Cupcakes/Bundt Cakes</t>
  </si>
  <si>
    <t>White Cheddar Popcorn</t>
  </si>
  <si>
    <t>voting option this year</t>
  </si>
  <si>
    <t>Humpty Dumpty treats (kinder egg/ egg shaped rice krispies</t>
  </si>
  <si>
    <t>Hunchback of Notre Dame</t>
  </si>
  <si>
    <t>looking glass candy bags</t>
  </si>
  <si>
    <t>10/1/2026 Informational meeting</t>
  </si>
  <si>
    <t>Ration Boxes</t>
  </si>
  <si>
    <t>zots</t>
  </si>
  <si>
    <t>Merchandise ideas</t>
  </si>
  <si>
    <t>10/9/2026 Auditions</t>
  </si>
  <si>
    <t>30-35/15-30</t>
  </si>
  <si>
    <t>Buttons</t>
  </si>
  <si>
    <t>King of Fools Crown</t>
  </si>
  <si>
    <t>underground stickers/posters</t>
  </si>
  <si>
    <t>Stickers</t>
  </si>
  <si>
    <t>04/4-7/2026 Tech Week</t>
  </si>
  <si>
    <t>felt?</t>
  </si>
  <si>
    <t>clocks</t>
  </si>
  <si>
    <t>Magnets</t>
  </si>
  <si>
    <t>Esmerelda's Potion</t>
  </si>
  <si>
    <t>Show Posters Signed by Cast</t>
  </si>
  <si>
    <t>Black light/Laundry detergent</t>
  </si>
  <si>
    <t>04/08-10 &amp; 15-17/2026 Show</t>
  </si>
  <si>
    <t>stained glass window kits/or already made</t>
  </si>
  <si>
    <t>Show Themed cups</t>
  </si>
  <si>
    <t>Tambourines</t>
  </si>
  <si>
    <t>Light up items</t>
  </si>
  <si>
    <t>~$1.67/ per instrument</t>
  </si>
  <si>
    <t>Theatre I &amp; II Production</t>
  </si>
  <si>
    <t>Scarves</t>
  </si>
  <si>
    <t>mini gargoyoles to paint at home</t>
  </si>
  <si>
    <t>masquarade?</t>
  </si>
  <si>
    <t>Senior Showcase</t>
  </si>
  <si>
    <t xml:space="preserve">Carowinds </t>
  </si>
  <si>
    <t>Shows</t>
  </si>
  <si>
    <t xml:space="preserve">*Recycle Programs? May need less </t>
  </si>
  <si>
    <t>2025-26 CHAOS THEATER BUDGET PLAN</t>
  </si>
  <si>
    <t>Budget Code</t>
  </si>
  <si>
    <t>Category 1</t>
  </si>
  <si>
    <t>Show Name</t>
  </si>
  <si>
    <t>Category 2</t>
  </si>
  <si>
    <t>Projected Expense</t>
  </si>
  <si>
    <t>Expected Income</t>
  </si>
  <si>
    <t>Actual Expense</t>
  </si>
  <si>
    <t>Actual Income</t>
  </si>
  <si>
    <t>Comments</t>
  </si>
  <si>
    <t>T1000</t>
  </si>
  <si>
    <t>Summer Camp 1</t>
  </si>
  <si>
    <t>Dues</t>
  </si>
  <si>
    <t>T1001</t>
  </si>
  <si>
    <t>T-shirts</t>
  </si>
  <si>
    <t>T1002</t>
  </si>
  <si>
    <t>Summer Camp 2</t>
  </si>
  <si>
    <t>T1003</t>
  </si>
  <si>
    <t>T1004</t>
  </si>
  <si>
    <t>Summer Camp 1 &amp; 2</t>
  </si>
  <si>
    <t>Marketing</t>
  </si>
  <si>
    <t>T1005</t>
  </si>
  <si>
    <t>Concessions / meals</t>
  </si>
  <si>
    <t>T1006</t>
  </si>
  <si>
    <t>Ticket Sales</t>
  </si>
  <si>
    <t>Tickets for student performance  X 10/ticket</t>
  </si>
  <si>
    <t>T1007</t>
  </si>
  <si>
    <t>Licensing</t>
  </si>
  <si>
    <t>T1008</t>
  </si>
  <si>
    <t>Props, Set, Projections</t>
  </si>
  <si>
    <t>Totals</t>
  </si>
  <si>
    <t>Net</t>
  </si>
  <si>
    <t>Total Net to help cover Student NCTC Dues</t>
  </si>
  <si>
    <t>T1009</t>
  </si>
  <si>
    <t>NCTC (20 kids)</t>
  </si>
  <si>
    <t>Dues: 20 X $50 includes Reg fee, Bus, Substitute, Tshirt, and some food</t>
  </si>
  <si>
    <t>T1010</t>
  </si>
  <si>
    <t>Licensing:  $1235</t>
  </si>
  <si>
    <t>*need more more scripts!</t>
  </si>
  <si>
    <t>T1011</t>
  </si>
  <si>
    <t>Tee Shirt Costs INCLUDED IN DUES: 20 X $12.00 per shirt</t>
  </si>
  <si>
    <t>T1012</t>
  </si>
  <si>
    <t>Set Build</t>
  </si>
  <si>
    <t>T1013</t>
  </si>
  <si>
    <t>Props</t>
  </si>
  <si>
    <t>T1014</t>
  </si>
  <si>
    <t>Costumes</t>
  </si>
  <si>
    <t xml:space="preserve"> </t>
  </si>
  <si>
    <t>T1015</t>
  </si>
  <si>
    <t>Annual Membership Dues</t>
  </si>
  <si>
    <t>NCTC Member dues- $400/yr</t>
  </si>
  <si>
    <t>T1016</t>
  </si>
  <si>
    <t>Festival Admission</t>
  </si>
  <si>
    <t>T1017</t>
  </si>
  <si>
    <t>Transportation</t>
  </si>
  <si>
    <t>T1018</t>
  </si>
  <si>
    <t>Meals &amp; Snacks</t>
  </si>
  <si>
    <t>4 Meals</t>
  </si>
  <si>
    <t>T1019</t>
  </si>
  <si>
    <t>Tickets</t>
  </si>
  <si>
    <t>Pay what you want donation based</t>
  </si>
  <si>
    <t>T1020</t>
  </si>
  <si>
    <t>Playbills (Jan Show)</t>
  </si>
  <si>
    <t>T1021</t>
  </si>
  <si>
    <t>Concessions (Jan Show)</t>
  </si>
  <si>
    <t>T1022</t>
  </si>
  <si>
    <t>Roses (Jan Show)</t>
  </si>
  <si>
    <t xml:space="preserve">Net </t>
  </si>
  <si>
    <t>T1023</t>
  </si>
  <si>
    <t>Fall Revue #1</t>
  </si>
  <si>
    <t>Villans</t>
  </si>
  <si>
    <t>Dues: 23 X $50 per student</t>
  </si>
  <si>
    <t>T1024</t>
  </si>
  <si>
    <t>INCLUDED IN DUES:23 X $12 per shirt</t>
  </si>
  <si>
    <t>T1025</t>
  </si>
  <si>
    <t>Set/prop/costume</t>
  </si>
  <si>
    <t>T1026</t>
  </si>
  <si>
    <t>T1027</t>
  </si>
  <si>
    <t>Concessions</t>
  </si>
  <si>
    <t>T1028</t>
  </si>
  <si>
    <t>Flowers</t>
  </si>
  <si>
    <t>T1029</t>
  </si>
  <si>
    <t>Scholarship</t>
  </si>
  <si>
    <t>T1030</t>
  </si>
  <si>
    <t>Meals</t>
  </si>
  <si>
    <t>T1031</t>
  </si>
  <si>
    <t>100 tickets X $10/ticket</t>
  </si>
  <si>
    <t>1 scholarship</t>
  </si>
  <si>
    <t>T1032</t>
  </si>
  <si>
    <t xml:space="preserve">Fall Play </t>
  </si>
  <si>
    <t xml:space="preserve">free </t>
  </si>
  <si>
    <t>T1033</t>
  </si>
  <si>
    <t>34 @ $100 and 20 @ $75</t>
  </si>
  <si>
    <t>T1034</t>
  </si>
  <si>
    <t>3 @ $100</t>
  </si>
  <si>
    <t>T1035</t>
  </si>
  <si>
    <t>INCLUDED IN DUES: 54 X $12 per shirt</t>
  </si>
  <si>
    <t>T1036</t>
  </si>
  <si>
    <t>$12/student for 4 meals *(if no meal discount)</t>
  </si>
  <si>
    <t>T1037</t>
  </si>
  <si>
    <t>T1038</t>
  </si>
  <si>
    <t>T1039</t>
  </si>
  <si>
    <t>T1040</t>
  </si>
  <si>
    <t>T1041</t>
  </si>
  <si>
    <t>Playbills</t>
  </si>
  <si>
    <t>T1042</t>
  </si>
  <si>
    <t>Playbill ads</t>
  </si>
  <si>
    <t>T1043</t>
  </si>
  <si>
    <t>approx $12.50/ticket x 125 tickets/show x 4 shows</t>
  </si>
  <si>
    <t>T1044</t>
  </si>
  <si>
    <t>T1045</t>
  </si>
  <si>
    <t>banners, FB advertising</t>
  </si>
  <si>
    <t>T1046</t>
  </si>
  <si>
    <t>Misc</t>
  </si>
  <si>
    <t>T1047</t>
  </si>
  <si>
    <t>Snacks</t>
  </si>
  <si>
    <t>Cake too</t>
  </si>
  <si>
    <t>MidSummer Nights Dream</t>
  </si>
  <si>
    <t>2 scholarships</t>
  </si>
  <si>
    <t>T1048</t>
  </si>
  <si>
    <t>Fall Revue #2</t>
  </si>
  <si>
    <t>R&amp;R</t>
  </si>
  <si>
    <t xml:space="preserve">Dues </t>
  </si>
  <si>
    <t>T1049</t>
  </si>
  <si>
    <t>Fall Revue #3</t>
  </si>
  <si>
    <t>INCLUDED IN DUES: 30 X $12 per shirt</t>
  </si>
  <si>
    <t>T1050</t>
  </si>
  <si>
    <t>Fall Revue #4</t>
  </si>
  <si>
    <t>T1051</t>
  </si>
  <si>
    <t>Fall Revue #5</t>
  </si>
  <si>
    <t>T1052</t>
  </si>
  <si>
    <t>Fall Revue #6</t>
  </si>
  <si>
    <t>T1053</t>
  </si>
  <si>
    <t>Fall Revue #7</t>
  </si>
  <si>
    <t>T1054</t>
  </si>
  <si>
    <t>Fall Revue #8</t>
  </si>
  <si>
    <t>T1055</t>
  </si>
  <si>
    <t>Fall Revue #9</t>
  </si>
  <si>
    <t>T1056</t>
  </si>
  <si>
    <t>Fall Revue #10</t>
  </si>
  <si>
    <t>T1057</t>
  </si>
  <si>
    <t>Spring Musical</t>
  </si>
  <si>
    <t xml:space="preserve">Licensing </t>
  </si>
  <si>
    <t>$3196.97 +$400- paid during 24-25 expendatures.  Required for blumey budget</t>
  </si>
  <si>
    <t>T1058</t>
  </si>
  <si>
    <t>35 @ $125 and 30 @ $100</t>
  </si>
  <si>
    <t>T1059</t>
  </si>
  <si>
    <t>3 @ $125</t>
  </si>
  <si>
    <t>T1060</t>
  </si>
  <si>
    <t>INCLUDED IN DUES: 65 X $12 per shirt</t>
  </si>
  <si>
    <t>T1061</t>
  </si>
  <si>
    <t>T1062</t>
  </si>
  <si>
    <t>includes screen/images</t>
  </si>
  <si>
    <t>T1063</t>
  </si>
  <si>
    <t>T1064</t>
  </si>
  <si>
    <t>T1065</t>
  </si>
  <si>
    <t>T1066</t>
  </si>
  <si>
    <t>T1067</t>
  </si>
  <si>
    <t>T1068</t>
  </si>
  <si>
    <t>approx $12.50/ticket x 250 tickets/show x 4 shows</t>
  </si>
  <si>
    <t>T1069</t>
  </si>
  <si>
    <t>T1070</t>
  </si>
  <si>
    <t>T1071</t>
  </si>
  <si>
    <t>T1072</t>
  </si>
  <si>
    <t>T1073</t>
  </si>
  <si>
    <t>Music Assistance</t>
  </si>
  <si>
    <t>Mama Mia</t>
  </si>
  <si>
    <t>T1074</t>
  </si>
  <si>
    <t>Spring Revue #3</t>
  </si>
  <si>
    <t>Dreams vs Nightmares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</si>
  <si>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</si>
  <si>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</si>
  <si>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</si>
  <si>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</si>
  <si>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</si>
  <si>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</si>
  <si>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</si>
  <si>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</si>
  <si>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</si>
  <si>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Sping Revue #4</t>
  </si>
  <si>
    <t>Alice by Heart 7-day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</si>
  <si>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</si>
  <si>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</si>
  <si>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</si>
  <si>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</si>
  <si>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</si>
  <si>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</si>
  <si>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</si>
  <si>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</si>
  <si>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100 tickets X $10/ticket
Maybe a pay what you want as it’s a surpise</t>
  </si>
  <si>
    <t>T1092</t>
  </si>
  <si>
    <t>Student recognition</t>
  </si>
  <si>
    <t>ITS Theatre Induction</t>
  </si>
  <si>
    <t>T1093</t>
  </si>
  <si>
    <t>Program Enrichment</t>
  </si>
  <si>
    <t>Misc Needs</t>
  </si>
  <si>
    <t>T1094</t>
  </si>
  <si>
    <t>Tech Training</t>
  </si>
  <si>
    <t>T1095</t>
  </si>
  <si>
    <t>25-26 Licenses</t>
  </si>
  <si>
    <t>T1096</t>
  </si>
  <si>
    <t>Golden Sabres Cake</t>
  </si>
  <si>
    <t>T1097</t>
  </si>
  <si>
    <t>Dance Contractor</t>
  </si>
  <si>
    <t>T1098</t>
  </si>
  <si>
    <t>Student Enrichment</t>
  </si>
  <si>
    <t>Blumey Tix</t>
  </si>
  <si>
    <t>T1106</t>
  </si>
  <si>
    <t>Donation @ Event</t>
  </si>
  <si>
    <t>T1099</t>
  </si>
  <si>
    <t>Capital Expenses</t>
  </si>
  <si>
    <t>Capital Investment</t>
  </si>
  <si>
    <t>Microphones (including wires, clips, etc…)</t>
  </si>
  <si>
    <t>T1100</t>
  </si>
  <si>
    <t>Scaffolding</t>
  </si>
  <si>
    <t>T1101</t>
  </si>
  <si>
    <t>Lighting</t>
  </si>
  <si>
    <t>T1102</t>
  </si>
  <si>
    <t>Ladder</t>
  </si>
  <si>
    <t>T1103</t>
  </si>
  <si>
    <t>Electronics (cables, etc..)</t>
  </si>
  <si>
    <t>T1104</t>
  </si>
  <si>
    <t>Misc (tape, batteries, organizational material)</t>
  </si>
  <si>
    <t>T1105</t>
  </si>
  <si>
    <t>Projector case</t>
  </si>
  <si>
    <t>Grand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</si>
</sst>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/yyyy"/>
    <numFmt numFmtId="166" formatCode="_(&quot;$&quot;* #,##0.00_);_(&quot;$&quot;* \(#,##0.00\);_(&quot;$&quot;* &quot;-&quot;??_);_(@_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Courier New"/>
    </font>
    <font/>
    <font>
      <sz val="11.0"/>
      <color theme="1"/>
      <name val="Aptos Narrow"/>
    </font>
    <font>
      <sz val="12.0"/>
      <color theme="1"/>
      <name val="Courier New"/>
    </font>
    <font>
      <b/>
      <sz val="11.0"/>
      <color theme="1"/>
      <name val="Aptos Narrow"/>
    </font>
    <font>
      <sz val="11.0"/>
      <color theme="1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8D8D8"/>
        <bgColor rgb="FFD8D8D8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right/>
      <top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1" fillId="0" fontId="2" numFmtId="0" xfId="0" applyAlignment="1" applyBorder="1" applyFont="1">
      <alignment horizontal="center" shrinkToFit="0" wrapText="1"/>
    </xf>
    <xf borderId="1" fillId="0" fontId="3" numFmtId="0" xfId="0" applyBorder="1" applyFont="1"/>
    <xf borderId="0" fillId="0" fontId="4" numFmtId="0" xfId="0" applyAlignment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2" fillId="0" fontId="2" numFmtId="166" xfId="0" applyAlignment="1" applyBorder="1" applyFont="1" applyNumberFormat="1">
      <alignment horizontal="center" shrinkToFit="0" wrapText="1"/>
    </xf>
    <xf borderId="2" fillId="3" fontId="2" numFmtId="166" xfId="0" applyAlignment="1" applyBorder="1" applyFill="1" applyFont="1" applyNumberFormat="1">
      <alignment horizontal="center" shrinkToFit="0" wrapText="1"/>
    </xf>
    <xf borderId="2" fillId="3" fontId="2" numFmtId="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5" numFmtId="166" xfId="0" applyAlignment="1" applyBorder="1" applyFont="1" applyNumberFormat="1">
      <alignment horizontal="center" shrinkToFit="0" wrapText="1"/>
    </xf>
    <xf borderId="2" fillId="3" fontId="5" numFmtId="166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shrinkToFit="0" wrapText="1"/>
    </xf>
    <xf borderId="3" fillId="0" fontId="5" numFmtId="166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5" fillId="0" fontId="2" numFmtId="166" xfId="0" applyAlignment="1" applyBorder="1" applyFont="1" applyNumberFormat="1">
      <alignment horizontal="center" shrinkToFit="0" wrapText="1"/>
    </xf>
    <xf borderId="6" fillId="3" fontId="2" numFmtId="166" xfId="0" applyAlignment="1" applyBorder="1" applyFont="1" applyNumberForma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9" fillId="0" fontId="2" numFmtId="166" xfId="0" applyAlignment="1" applyBorder="1" applyFont="1" applyNumberFormat="1">
      <alignment horizontal="center" shrinkToFit="0" wrapText="1"/>
    </xf>
    <xf borderId="10" fillId="3" fontId="2" numFmtId="166" xfId="0" applyAlignment="1" applyBorder="1" applyFont="1" applyNumberForma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12" fillId="0" fontId="2" numFmtId="166" xfId="0" applyAlignment="1" applyBorder="1" applyFont="1" applyNumberFormat="1">
      <alignment horizontal="center" shrinkToFit="0" wrapText="1"/>
    </xf>
    <xf borderId="13" fillId="3" fontId="2" numFmtId="166" xfId="0" applyAlignment="1" applyBorder="1" applyFont="1" applyNumberFormat="1">
      <alignment horizontal="center" shrinkToFit="0" wrapText="1"/>
    </xf>
    <xf borderId="13" fillId="3" fontId="2" numFmtId="4" xfId="0" applyAlignment="1" applyBorder="1" applyFont="1" applyNumberForma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13" fillId="3" fontId="5" numFmtId="166" xfId="0" applyAlignment="1" applyBorder="1" applyFont="1" applyNumberFormat="1">
      <alignment horizontal="center" shrinkToFit="0" wrapText="1"/>
    </xf>
    <xf borderId="12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  <xf borderId="14" fillId="3" fontId="5" numFmtId="166" xfId="0" applyAlignment="1" applyBorder="1" applyFont="1" applyNumberFormat="1">
      <alignment horizontal="center" shrinkToFit="0" wrapText="1"/>
    </xf>
    <xf borderId="3" fillId="0" fontId="7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7" fillId="0" fontId="2" numFmtId="166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4" width="20.13"/>
    <col customWidth="1" min="5" max="5" width="17.25"/>
  </cols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</row>
    <row r="2">
      <c r="A2" s="1" t="s">
        <v>16</v>
      </c>
      <c r="B2" s="1" t="s">
        <v>19</v>
      </c>
      <c r="C2" s="1" t="s">
        <v>22</v>
      </c>
      <c r="D2" s="1" t="s">
        <v>25</v>
      </c>
      <c r="E2" s="1" t="s">
        <v>27</v>
      </c>
      <c r="F2" s="1" t="s">
        <v>30</v>
      </c>
    </row>
    <row r="3">
      <c r="A3" s="1"/>
      <c r="B3" s="2"/>
      <c r="C3" s="2"/>
      <c r="D3" s="2"/>
    </row>
    <row r="4">
      <c r="A4" s="1" t="s">
        <v>77</v>
      </c>
      <c r="B4" s="1" t="s">
        <v>78</v>
      </c>
      <c r="C4" s="1" t="s">
        <v>79</v>
      </c>
      <c r="D4" s="2">
        <v>46253.0</v>
      </c>
      <c r="F4" s="1" t="s">
        <v>80</v>
      </c>
    </row>
    <row r="5">
      <c r="A5" s="1"/>
    </row>
    <row r="6">
      <c r="A6" s="1" t="s">
        <v>81</v>
      </c>
      <c r="B6" s="1" t="s">
        <v>19</v>
      </c>
      <c r="C6" s="1" t="s">
        <v>79</v>
      </c>
      <c r="D6" s="2">
        <v>46254.0</v>
      </c>
      <c r="E6" s="1"/>
      <c r="F6" s="1" t="s">
        <v>82</v>
      </c>
    </row>
    <row r="7">
      <c r="A7" s="1"/>
    </row>
    <row r="8">
      <c r="A8" s="1" t="s">
        <v>83</v>
      </c>
      <c r="B8" s="1" t="s">
        <v>19</v>
      </c>
      <c r="C8" s="1" t="s">
        <v>22</v>
      </c>
      <c r="D8" s="2">
        <v>46289.0</v>
      </c>
    </row>
    <row r="9">
      <c r="A9" s="1"/>
      <c r="B9" s="1"/>
      <c r="C9" s="1"/>
      <c r="D9" s="1"/>
      <c r="E9" s="1"/>
      <c r="F9" s="1"/>
    </row>
    <row r="10">
      <c r="A10" s="1" t="s">
        <v>84</v>
      </c>
      <c r="B10" s="1" t="s">
        <v>78</v>
      </c>
      <c r="C10" s="1" t="s">
        <v>79</v>
      </c>
      <c r="D10" s="1" t="s">
        <v>85</v>
      </c>
      <c r="E10" s="1"/>
      <c r="F10" s="1" t="s">
        <v>86</v>
      </c>
    </row>
    <row r="12">
      <c r="A12" s="3" t="s">
        <v>87</v>
      </c>
      <c r="B12" s="1" t="s">
        <v>19</v>
      </c>
      <c r="C12" s="1" t="s">
        <v>88</v>
      </c>
      <c r="D12" s="1"/>
      <c r="F12" s="1" t="s">
        <v>89</v>
      </c>
    </row>
    <row r="13">
      <c r="B13" s="1"/>
      <c r="C13" s="1"/>
      <c r="D13" s="1"/>
    </row>
    <row r="14">
      <c r="A14" s="1" t="s">
        <v>90</v>
      </c>
      <c r="B14" s="1" t="s">
        <v>19</v>
      </c>
      <c r="C14" s="1" t="s">
        <v>22</v>
      </c>
      <c r="D14" s="1" t="s">
        <v>91</v>
      </c>
      <c r="E14" s="1" t="s">
        <v>92</v>
      </c>
      <c r="F14" s="1" t="s">
        <v>93</v>
      </c>
    </row>
    <row r="15">
      <c r="B15" s="1"/>
      <c r="C15" s="1"/>
      <c r="D15" s="1" t="s">
        <v>94</v>
      </c>
    </row>
    <row r="16">
      <c r="B16" s="1"/>
      <c r="C16" s="1"/>
      <c r="D16" s="1" t="s">
        <v>95</v>
      </c>
    </row>
    <row r="17">
      <c r="B17" s="1"/>
      <c r="C17" s="1"/>
      <c r="D17" s="1" t="s">
        <v>96</v>
      </c>
    </row>
    <row r="18">
      <c r="A18" s="1"/>
      <c r="B18" s="2"/>
      <c r="C18" s="2"/>
      <c r="D18" s="2"/>
      <c r="E18" s="1"/>
      <c r="F18" s="1"/>
    </row>
    <row r="19">
      <c r="A19" s="3" t="s">
        <v>97</v>
      </c>
      <c r="B19" s="1" t="s">
        <v>19</v>
      </c>
      <c r="C19" s="1" t="s">
        <v>88</v>
      </c>
      <c r="D19" s="1" t="s">
        <v>98</v>
      </c>
      <c r="E19" s="1"/>
      <c r="F19" s="1"/>
    </row>
    <row r="20">
      <c r="A20" s="1"/>
      <c r="B20" s="2"/>
      <c r="C20" s="2"/>
      <c r="D20" s="2"/>
      <c r="E20" s="1"/>
      <c r="F20" s="1"/>
    </row>
    <row r="21">
      <c r="A21" s="3" t="s">
        <v>99</v>
      </c>
      <c r="B21" s="1" t="s">
        <v>19</v>
      </c>
      <c r="C21" s="1" t="s">
        <v>88</v>
      </c>
      <c r="D21" s="2">
        <v>46357.0</v>
      </c>
      <c r="E21" s="1"/>
      <c r="F21" s="1"/>
    </row>
    <row r="22">
      <c r="A22" s="1"/>
      <c r="B22" s="2"/>
      <c r="C22" s="2"/>
      <c r="D22" s="2"/>
      <c r="E22" s="1"/>
      <c r="F22" s="1"/>
    </row>
    <row r="23">
      <c r="A23" s="1" t="s">
        <v>100</v>
      </c>
      <c r="B23" s="1" t="s">
        <v>22</v>
      </c>
      <c r="C23" s="1" t="s">
        <v>22</v>
      </c>
      <c r="D23" s="2">
        <v>46036.0</v>
      </c>
      <c r="E23" s="1"/>
      <c r="F23" s="1" t="s">
        <v>101</v>
      </c>
    </row>
    <row r="24">
      <c r="B24" s="1"/>
      <c r="C24" s="1"/>
      <c r="D24" s="1" t="s">
        <v>102</v>
      </c>
    </row>
    <row r="25">
      <c r="A25" s="1"/>
      <c r="B25" s="1"/>
      <c r="C25" s="1"/>
      <c r="D25" s="1"/>
      <c r="E25" s="1"/>
      <c r="F25" s="1"/>
    </row>
    <row r="26">
      <c r="A26" s="1" t="s">
        <v>103</v>
      </c>
      <c r="B26" s="1" t="s">
        <v>22</v>
      </c>
      <c r="C26" s="1" t="s">
        <v>22</v>
      </c>
      <c r="D26" s="1" t="s">
        <v>104</v>
      </c>
      <c r="E26" s="1" t="s">
        <v>105</v>
      </c>
      <c r="F26" s="1" t="s">
        <v>93</v>
      </c>
    </row>
    <row r="27">
      <c r="B27" s="1"/>
      <c r="C27" s="1"/>
      <c r="D27" s="1" t="s">
        <v>106</v>
      </c>
    </row>
    <row r="29">
      <c r="A29" s="1" t="s">
        <v>107</v>
      </c>
      <c r="B29" s="1" t="s">
        <v>78</v>
      </c>
      <c r="C29" s="1" t="s">
        <v>79</v>
      </c>
      <c r="D29" s="1" t="s">
        <v>110</v>
      </c>
    </row>
    <row r="30">
      <c r="A30" s="1"/>
    </row>
    <row r="31">
      <c r="A31" s="3" t="s">
        <v>112</v>
      </c>
      <c r="B31" s="1" t="s">
        <v>88</v>
      </c>
      <c r="C31" s="1" t="s">
        <v>88</v>
      </c>
      <c r="D31" s="2">
        <v>46082.0</v>
      </c>
      <c r="F31" s="1"/>
    </row>
    <row r="32">
      <c r="A32" s="1"/>
      <c r="B32" s="2"/>
      <c r="C32" s="2"/>
      <c r="D32" s="2"/>
      <c r="F32" s="1"/>
    </row>
    <row r="33">
      <c r="A33" s="1" t="s">
        <v>118</v>
      </c>
      <c r="B33" s="1" t="s">
        <v>19</v>
      </c>
      <c r="C33" s="1" t="s">
        <v>22</v>
      </c>
      <c r="D33" s="2">
        <v>46106.0</v>
      </c>
      <c r="F33" s="1" t="s">
        <v>121</v>
      </c>
    </row>
    <row r="35">
      <c r="A35" s="1" t="s">
        <v>123</v>
      </c>
      <c r="B35" s="1" t="s">
        <v>19</v>
      </c>
      <c r="C35" s="1" t="s">
        <v>22</v>
      </c>
      <c r="D35" s="1" t="s">
        <v>125</v>
      </c>
    </row>
    <row r="36">
      <c r="B36" s="1"/>
      <c r="C36" s="1"/>
      <c r="D36" s="1" t="s">
        <v>129</v>
      </c>
      <c r="E36" s="1" t="s">
        <v>130</v>
      </c>
    </row>
    <row r="37">
      <c r="B37" s="1"/>
      <c r="C37" s="1"/>
      <c r="D37" s="1" t="s">
        <v>135</v>
      </c>
    </row>
    <row r="38">
      <c r="A38" s="1"/>
      <c r="B38" s="1"/>
      <c r="C38" s="1"/>
      <c r="D38" s="1" t="s">
        <v>142</v>
      </c>
    </row>
    <row r="39">
      <c r="A39" s="1"/>
      <c r="B39" s="2"/>
      <c r="C39" s="2"/>
      <c r="D39" s="2"/>
    </row>
    <row r="40">
      <c r="A40" s="1" t="s">
        <v>148</v>
      </c>
      <c r="B40" s="1" t="s">
        <v>19</v>
      </c>
      <c r="C40" s="1" t="s">
        <v>22</v>
      </c>
      <c r="D40" s="2">
        <v>46153.0</v>
      </c>
    </row>
    <row r="42">
      <c r="A42" s="1" t="s">
        <v>152</v>
      </c>
      <c r="B42" s="1" t="s">
        <v>19</v>
      </c>
      <c r="C42" s="1" t="s">
        <v>22</v>
      </c>
      <c r="D42" s="2">
        <v>46157.0</v>
      </c>
    </row>
    <row r="44">
      <c r="A44" s="3" t="s">
        <v>153</v>
      </c>
      <c r="B44" s="1" t="s">
        <v>154</v>
      </c>
      <c r="C44" s="1" t="s">
        <v>88</v>
      </c>
      <c r="D44" s="4">
        <v>46143.0</v>
      </c>
    </row>
    <row r="46">
      <c r="E46" s="1" t="s">
        <v>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B2" s="1" t="s">
        <v>3</v>
      </c>
      <c r="C2" s="1" t="s">
        <v>6</v>
      </c>
    </row>
    <row r="3">
      <c r="A3" s="1" t="s">
        <v>10</v>
      </c>
      <c r="B3" s="1" t="s">
        <v>13</v>
      </c>
      <c r="C3" s="1" t="s">
        <v>15</v>
      </c>
    </row>
    <row r="4">
      <c r="A4" s="1" t="s">
        <v>18</v>
      </c>
      <c r="B4" s="1" t="s">
        <v>21</v>
      </c>
      <c r="C4" s="1" t="s">
        <v>24</v>
      </c>
    </row>
    <row r="5">
      <c r="A5" s="1" t="s">
        <v>29</v>
      </c>
      <c r="B5" s="1" t="s">
        <v>32</v>
      </c>
      <c r="C5" s="1" t="s">
        <v>33</v>
      </c>
      <c r="D5" s="1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2</v>
      </c>
    </row>
    <row r="2">
      <c r="A2" s="1" t="s">
        <v>5</v>
      </c>
      <c r="B2" s="1" t="s">
        <v>8</v>
      </c>
    </row>
    <row r="3">
      <c r="A3" s="1" t="s">
        <v>11</v>
      </c>
      <c r="B3" s="1" t="s">
        <v>14</v>
      </c>
    </row>
    <row r="4">
      <c r="A4" s="1" t="s">
        <v>17</v>
      </c>
      <c r="B4" s="1" t="s">
        <v>20</v>
      </c>
      <c r="D4" s="1" t="s">
        <v>23</v>
      </c>
    </row>
    <row r="5">
      <c r="A5" s="1" t="s">
        <v>26</v>
      </c>
      <c r="B5" s="1" t="s">
        <v>28</v>
      </c>
      <c r="D5" s="1" t="s">
        <v>31</v>
      </c>
    </row>
    <row r="6">
      <c r="A6" s="1" t="s">
        <v>34</v>
      </c>
      <c r="B6" s="1" t="s">
        <v>36</v>
      </c>
      <c r="D6" s="1" t="s">
        <v>37</v>
      </c>
    </row>
    <row r="9">
      <c r="A9" s="1" t="s">
        <v>38</v>
      </c>
    </row>
    <row r="10">
      <c r="A10" s="1" t="s">
        <v>39</v>
      </c>
      <c r="B10" s="1" t="s">
        <v>40</v>
      </c>
    </row>
    <row r="11">
      <c r="A11" s="1" t="s">
        <v>41</v>
      </c>
      <c r="B11" s="1" t="s">
        <v>42</v>
      </c>
    </row>
    <row r="12">
      <c r="A12" s="1" t="s">
        <v>43</v>
      </c>
    </row>
    <row r="13">
      <c r="A13" s="1" t="s">
        <v>45</v>
      </c>
      <c r="B13" s="1" t="s">
        <v>46</v>
      </c>
    </row>
    <row r="14">
      <c r="A14" s="1" t="s">
        <v>47</v>
      </c>
    </row>
    <row r="15">
      <c r="A15" s="1" t="s">
        <v>49</v>
      </c>
    </row>
    <row r="16">
      <c r="A16" s="1" t="s">
        <v>51</v>
      </c>
      <c r="B16" s="1" t="s">
        <v>52</v>
      </c>
    </row>
    <row r="17">
      <c r="A17" s="1" t="s">
        <v>54</v>
      </c>
      <c r="B17" s="1" t="s">
        <v>55</v>
      </c>
    </row>
    <row r="18">
      <c r="A18" s="1" t="s">
        <v>57</v>
      </c>
    </row>
    <row r="19">
      <c r="A19" s="1" t="s">
        <v>59</v>
      </c>
    </row>
    <row r="20">
      <c r="A20" s="1" t="s">
        <v>61</v>
      </c>
      <c r="B20" s="1" t="s">
        <v>63</v>
      </c>
    </row>
    <row r="21">
      <c r="A21" s="1" t="s">
        <v>65</v>
      </c>
    </row>
    <row r="22">
      <c r="A22" s="1" t="s">
        <v>67</v>
      </c>
    </row>
    <row r="24">
      <c r="A24" s="1" t="s">
        <v>69</v>
      </c>
    </row>
    <row r="25">
      <c r="A25" s="1" t="s">
        <v>71</v>
      </c>
    </row>
    <row r="26">
      <c r="A26" s="1" t="s">
        <v>72</v>
      </c>
    </row>
    <row r="27">
      <c r="A27" s="1" t="s">
        <v>74</v>
      </c>
    </row>
    <row r="28">
      <c r="A28" s="1" t="s">
        <v>75</v>
      </c>
      <c r="B28" s="1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44</v>
      </c>
    </row>
    <row r="3">
      <c r="A3" s="1" t="s">
        <v>48</v>
      </c>
      <c r="D3" s="1" t="s">
        <v>50</v>
      </c>
    </row>
    <row r="4">
      <c r="A4" s="1" t="s">
        <v>53</v>
      </c>
    </row>
    <row r="5">
      <c r="A5" s="1" t="s">
        <v>56</v>
      </c>
    </row>
    <row r="6">
      <c r="A6" s="1" t="s">
        <v>58</v>
      </c>
    </row>
    <row r="7">
      <c r="A7" s="1" t="s">
        <v>60</v>
      </c>
    </row>
    <row r="8">
      <c r="A8" s="1" t="s">
        <v>62</v>
      </c>
    </row>
    <row r="9">
      <c r="A9" s="1" t="s">
        <v>64</v>
      </c>
    </row>
    <row r="10">
      <c r="A10" s="1" t="s">
        <v>66</v>
      </c>
    </row>
    <row r="11">
      <c r="A11" s="1" t="s">
        <v>68</v>
      </c>
    </row>
    <row r="12">
      <c r="A12" s="1" t="s">
        <v>70</v>
      </c>
    </row>
    <row r="14">
      <c r="A14" s="1" t="s"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108</v>
      </c>
    </row>
    <row r="3">
      <c r="A3" s="1" t="s">
        <v>109</v>
      </c>
    </row>
    <row r="8">
      <c r="A8" s="1" t="s">
        <v>38</v>
      </c>
    </row>
    <row r="9">
      <c r="A9" s="1" t="s">
        <v>111</v>
      </c>
    </row>
    <row r="10">
      <c r="A10" s="1" t="s">
        <v>113</v>
      </c>
    </row>
    <row r="11">
      <c r="A11" s="1" t="s">
        <v>114</v>
      </c>
    </row>
    <row r="12">
      <c r="A12" s="1" t="s">
        <v>115</v>
      </c>
    </row>
    <row r="13">
      <c r="A13" s="1" t="s">
        <v>116</v>
      </c>
    </row>
    <row r="14">
      <c r="A14" s="1" t="s">
        <v>117</v>
      </c>
    </row>
    <row r="15">
      <c r="A15" s="1" t="s">
        <v>119</v>
      </c>
    </row>
    <row r="16">
      <c r="A16" s="1" t="s">
        <v>120</v>
      </c>
    </row>
    <row r="17">
      <c r="A17" s="1" t="s">
        <v>122</v>
      </c>
    </row>
    <row r="18">
      <c r="A18" s="1" t="s">
        <v>124</v>
      </c>
    </row>
    <row r="19">
      <c r="A19" s="1" t="s">
        <v>126</v>
      </c>
    </row>
    <row r="20">
      <c r="A20" s="1" t="s">
        <v>127</v>
      </c>
    </row>
    <row r="23">
      <c r="A23" s="1" t="s">
        <v>69</v>
      </c>
    </row>
    <row r="24">
      <c r="A24" s="1" t="s">
        <v>133</v>
      </c>
    </row>
    <row r="25">
      <c r="A25" s="1" t="s">
        <v>137</v>
      </c>
    </row>
    <row r="26">
      <c r="A26" s="1" t="s">
        <v>141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2</v>
      </c>
    </row>
    <row r="2">
      <c r="A2" s="1" t="s">
        <v>132</v>
      </c>
      <c r="B2" s="1" t="s">
        <v>136</v>
      </c>
    </row>
    <row r="3">
      <c r="A3" s="1" t="s">
        <v>139</v>
      </c>
    </row>
    <row r="4">
      <c r="A4" s="1" t="s">
        <v>143</v>
      </c>
    </row>
    <row r="5">
      <c r="A5" s="1" t="s">
        <v>145</v>
      </c>
      <c r="B5" s="1" t="s">
        <v>147</v>
      </c>
    </row>
    <row r="6">
      <c r="A6" s="1" t="s">
        <v>149</v>
      </c>
    </row>
    <row r="7">
      <c r="A7" s="1" t="s">
        <v>150</v>
      </c>
    </row>
    <row r="8">
      <c r="A8" s="1" t="s">
        <v>151</v>
      </c>
    </row>
    <row r="13">
      <c r="A13" s="1" t="s">
        <v>38</v>
      </c>
    </row>
    <row r="14">
      <c r="A14" s="1" t="s">
        <v>41</v>
      </c>
    </row>
    <row r="15">
      <c r="A15" s="1" t="s">
        <v>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128</v>
      </c>
    </row>
    <row r="3">
      <c r="A3" s="1" t="s">
        <v>131</v>
      </c>
    </row>
    <row r="4">
      <c r="A4" s="1" t="s">
        <v>134</v>
      </c>
    </row>
    <row r="5">
      <c r="A5" s="1" t="s">
        <v>138</v>
      </c>
    </row>
    <row r="6">
      <c r="A6" s="1" t="s">
        <v>140</v>
      </c>
    </row>
    <row r="7">
      <c r="A7" s="1" t="s">
        <v>144</v>
      </c>
    </row>
    <row r="8">
      <c r="A8" s="1" t="s">
        <v>146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5.5"/>
    <col customWidth="1" min="3" max="3" width="32.5"/>
    <col customWidth="1" min="4" max="4" width="56.38"/>
    <col customWidth="1" min="5" max="5" width="19.13"/>
    <col customWidth="1" min="6" max="6" width="20.13"/>
    <col customWidth="1" min="7" max="7" width="18.75"/>
    <col customWidth="1" min="8" max="8" width="16.88"/>
    <col customWidth="1" min="9" max="9" width="82.88"/>
    <col customWidth="1" min="10" max="27" width="84.0"/>
  </cols>
  <sheetData>
    <row r="1" ht="14.25" customHeight="1">
      <c r="A1" s="5" t="s">
        <v>156</v>
      </c>
      <c r="B1" s="6"/>
      <c r="C1" s="6"/>
      <c r="D1" s="6"/>
      <c r="E1" s="6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157</v>
      </c>
      <c r="B2" s="8" t="s">
        <v>158</v>
      </c>
      <c r="C2" s="8" t="s">
        <v>159</v>
      </c>
      <c r="D2" s="8" t="s">
        <v>160</v>
      </c>
      <c r="E2" s="9" t="s">
        <v>161</v>
      </c>
      <c r="F2" s="9" t="s">
        <v>162</v>
      </c>
      <c r="G2" s="10" t="s">
        <v>163</v>
      </c>
      <c r="H2" s="11" t="s">
        <v>164</v>
      </c>
      <c r="I2" s="8" t="s">
        <v>165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12" t="s">
        <v>166</v>
      </c>
      <c r="B3" s="12" t="s">
        <v>167</v>
      </c>
      <c r="C3" s="13" t="s">
        <v>16</v>
      </c>
      <c r="D3" s="12" t="s">
        <v>168</v>
      </c>
      <c r="E3" s="14"/>
      <c r="F3" s="14">
        <v>2463.75</v>
      </c>
      <c r="G3" s="15" t="str">
        <f t="shared" ref="G3:G11" si="1">SUM(SUMIFS(GL!$C:$C,GL!$G:$G,CONCATENATE(A3,"*"),GL!$F:$F,"Refund"),SUMIFS(GL!$C:$C,GL!$G:$G,CONCATENATE(A3,"*"),GL!$F:$F,"Expense"))</f>
        <v>#N/A</v>
      </c>
      <c r="H3" s="15" t="str">
        <f t="shared" ref="H3:H11" si="2">SUMIFS(GL!$C:$C,GL!$G:$G,CONCATENATE($A3,"*"),GL!$F:$F,"Income")</f>
        <v>#N/A</v>
      </c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12" t="s">
        <v>169</v>
      </c>
      <c r="B4" s="12" t="s">
        <v>167</v>
      </c>
      <c r="C4" s="13" t="s">
        <v>16</v>
      </c>
      <c r="D4" s="12" t="s">
        <v>170</v>
      </c>
      <c r="E4" s="14">
        <v>-344.94</v>
      </c>
      <c r="F4" s="14"/>
      <c r="G4" s="15" t="str">
        <f t="shared" si="1"/>
        <v>#N/A</v>
      </c>
      <c r="H4" s="15" t="str">
        <f t="shared" si="2"/>
        <v>#N/A</v>
      </c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4.25" customHeight="1">
      <c r="A5" s="12" t="s">
        <v>171</v>
      </c>
      <c r="B5" s="12" t="s">
        <v>172</v>
      </c>
      <c r="C5" s="13" t="s">
        <v>16</v>
      </c>
      <c r="D5" s="12" t="s">
        <v>168</v>
      </c>
      <c r="E5" s="14"/>
      <c r="F5" s="14">
        <v>5580.0</v>
      </c>
      <c r="G5" s="15" t="str">
        <f t="shared" si="1"/>
        <v>#N/A</v>
      </c>
      <c r="H5" s="15" t="str">
        <f t="shared" si="2"/>
        <v>#N/A</v>
      </c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4.25" customHeight="1">
      <c r="A6" s="12" t="s">
        <v>173</v>
      </c>
      <c r="B6" s="12" t="s">
        <v>172</v>
      </c>
      <c r="C6" s="13" t="s">
        <v>16</v>
      </c>
      <c r="D6" s="12" t="s">
        <v>170</v>
      </c>
      <c r="E6" s="14">
        <v>-669.55</v>
      </c>
      <c r="F6" s="14"/>
      <c r="G6" s="15" t="str">
        <f t="shared" si="1"/>
        <v>#N/A</v>
      </c>
      <c r="H6" s="15" t="str">
        <f t="shared" si="2"/>
        <v>#N/A</v>
      </c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4.25" customHeight="1">
      <c r="A7" s="12" t="s">
        <v>174</v>
      </c>
      <c r="B7" s="12" t="s">
        <v>175</v>
      </c>
      <c r="C7" s="13" t="s">
        <v>16</v>
      </c>
      <c r="D7" s="12" t="s">
        <v>176</v>
      </c>
      <c r="E7" s="14">
        <v>-59.07</v>
      </c>
      <c r="F7" s="14"/>
      <c r="G7" s="15" t="str">
        <f t="shared" si="1"/>
        <v>#N/A</v>
      </c>
      <c r="H7" s="15" t="str">
        <f t="shared" si="2"/>
        <v>#N/A</v>
      </c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12" t="s">
        <v>177</v>
      </c>
      <c r="B8" s="12" t="s">
        <v>175</v>
      </c>
      <c r="C8" s="13" t="s">
        <v>16</v>
      </c>
      <c r="D8" s="12" t="s">
        <v>178</v>
      </c>
      <c r="E8" s="14">
        <v>-102.35</v>
      </c>
      <c r="F8" s="14"/>
      <c r="G8" s="15" t="str">
        <f t="shared" si="1"/>
        <v>#N/A</v>
      </c>
      <c r="H8" s="15" t="str">
        <f t="shared" si="2"/>
        <v>#N/A</v>
      </c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4.25" customHeight="1">
      <c r="A9" s="12" t="s">
        <v>179</v>
      </c>
      <c r="B9" s="12" t="s">
        <v>175</v>
      </c>
      <c r="C9" s="13" t="s">
        <v>16</v>
      </c>
      <c r="D9" s="12" t="s">
        <v>180</v>
      </c>
      <c r="E9" s="14"/>
      <c r="F9" s="14">
        <v>290.0</v>
      </c>
      <c r="G9" s="15" t="str">
        <f t="shared" si="1"/>
        <v>#N/A</v>
      </c>
      <c r="H9" s="15" t="str">
        <f t="shared" si="2"/>
        <v>#N/A</v>
      </c>
      <c r="I9" s="16" t="s">
        <v>181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4.25" customHeight="1">
      <c r="A10" s="12" t="s">
        <v>182</v>
      </c>
      <c r="B10" s="12" t="s">
        <v>175</v>
      </c>
      <c r="C10" s="13" t="s">
        <v>16</v>
      </c>
      <c r="D10" s="12" t="s">
        <v>183</v>
      </c>
      <c r="E10" s="14">
        <v>-1235.0</v>
      </c>
      <c r="F10" s="14"/>
      <c r="G10" s="15" t="str">
        <f t="shared" si="1"/>
        <v>#N/A</v>
      </c>
      <c r="H10" s="15" t="str">
        <f t="shared" si="2"/>
        <v>#N/A</v>
      </c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4.25" customHeight="1">
      <c r="A11" s="12" t="s">
        <v>184</v>
      </c>
      <c r="B11" s="17" t="s">
        <v>175</v>
      </c>
      <c r="C11" s="13" t="s">
        <v>16</v>
      </c>
      <c r="D11" s="17" t="s">
        <v>185</v>
      </c>
      <c r="E11" s="18">
        <v>-354.039999999999</v>
      </c>
      <c r="F11" s="18"/>
      <c r="G11" s="15" t="str">
        <f t="shared" si="1"/>
        <v>#N/A</v>
      </c>
      <c r="H11" s="15" t="str">
        <f t="shared" si="2"/>
        <v>#N/A</v>
      </c>
      <c r="I11" s="1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4.25" customHeight="1">
      <c r="A12" s="12"/>
      <c r="B12" s="20" t="s">
        <v>186</v>
      </c>
      <c r="C12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2" s="21"/>
      <c r="E12" s="22">
        <f t="shared" ref="E12:H12" si="3">SUM(E3:E11)</f>
        <v>-2764.95</v>
      </c>
      <c r="F12" s="22">
        <f t="shared" si="3"/>
        <v>8333.75</v>
      </c>
      <c r="G12" s="23" t="str">
        <f t="shared" si="3"/>
        <v>#N/A</v>
      </c>
      <c r="H12" s="23" t="str">
        <f t="shared" si="3"/>
        <v>#N/A</v>
      </c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7"/>
    </row>
    <row r="13" ht="14.25" customHeight="1">
      <c r="A13" s="12"/>
      <c r="B13" s="26" t="s">
        <v>187</v>
      </c>
      <c r="C13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3" s="27"/>
      <c r="E13" s="28"/>
      <c r="F13" s="28">
        <f>F12+E12</f>
        <v>5568.8</v>
      </c>
      <c r="G13" s="29"/>
      <c r="H13" s="29" t="str">
        <f>H12+G12</f>
        <v>#N/A</v>
      </c>
      <c r="I13" s="30" t="s">
        <v>188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7"/>
    </row>
    <row r="14" ht="14.25" customHeight="1">
      <c r="A14" s="12"/>
      <c r="B14" s="31"/>
      <c r="C14" s="3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4" s="31"/>
      <c r="E14" s="32"/>
      <c r="F14" s="32"/>
      <c r="G14" s="33"/>
      <c r="H14" s="34"/>
      <c r="I14" s="3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4.25" customHeight="1">
      <c r="A15" s="12" t="s">
        <v>189</v>
      </c>
      <c r="B15" s="12" t="s">
        <v>190</v>
      </c>
      <c r="C15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5" s="12" t="s">
        <v>168</v>
      </c>
      <c r="E15" s="14"/>
      <c r="F15" s="14">
        <v>1000.0</v>
      </c>
      <c r="G15" s="15" t="str">
        <f t="shared" ref="G15:G28" si="4">SUM(SUMIFS(GL!$C:$C,GL!$G:$G,CONCATENATE(A15,"*"),GL!$F:$F,"Refund"),SUMIFS(GL!$C:$C,GL!$G:$G,CONCATENATE(A15,"*"),GL!$F:$F,"Expense"))</f>
        <v>#N/A</v>
      </c>
      <c r="H15" s="15" t="str">
        <f t="shared" ref="H15:H28" si="5">SUMIFS(GL!$C:$C,GL!$G:$G,CONCATENATE($A15,"*"),GL!$F:$F,"Income")</f>
        <v>#N/A</v>
      </c>
      <c r="I15" s="8" t="s">
        <v>191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4.25" customHeight="1">
      <c r="A16" s="12" t="s">
        <v>192</v>
      </c>
      <c r="B16" s="12" t="s">
        <v>190</v>
      </c>
      <c r="C16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6" s="12" t="s">
        <v>193</v>
      </c>
      <c r="E16" s="14">
        <v>-150.0</v>
      </c>
      <c r="F16" s="14"/>
      <c r="G16" s="15" t="str">
        <f t="shared" si="4"/>
        <v>#N/A</v>
      </c>
      <c r="H16" s="15" t="str">
        <f t="shared" si="5"/>
        <v>#N/A</v>
      </c>
      <c r="I16" s="8" t="s">
        <v>194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12" t="s">
        <v>195</v>
      </c>
      <c r="B17" s="12" t="s">
        <v>190</v>
      </c>
      <c r="C17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7" s="12" t="s">
        <v>170</v>
      </c>
      <c r="E17" s="14">
        <v>-360.0</v>
      </c>
      <c r="F17" s="14">
        <v>70.0</v>
      </c>
      <c r="G17" s="15" t="str">
        <f t="shared" si="4"/>
        <v>#N/A</v>
      </c>
      <c r="H17" s="15" t="str">
        <f t="shared" si="5"/>
        <v>#N/A</v>
      </c>
      <c r="I17" s="8" t="s">
        <v>196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4.25" customHeight="1">
      <c r="A18" s="12" t="s">
        <v>197</v>
      </c>
      <c r="B18" s="12" t="s">
        <v>190</v>
      </c>
      <c r="C18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8" s="12" t="s">
        <v>198</v>
      </c>
      <c r="E18" s="14">
        <v>-240.0</v>
      </c>
      <c r="F18" s="14"/>
      <c r="G18" s="15" t="str">
        <f t="shared" si="4"/>
        <v>#N/A</v>
      </c>
      <c r="H18" s="15" t="str">
        <f t="shared" si="5"/>
        <v>#N/A</v>
      </c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4.25" customHeight="1">
      <c r="A19" s="12" t="s">
        <v>199</v>
      </c>
      <c r="B19" s="12" t="s">
        <v>190</v>
      </c>
      <c r="C19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9" s="12" t="s">
        <v>200</v>
      </c>
      <c r="E19" s="14">
        <v>-325.0</v>
      </c>
      <c r="F19" s="14"/>
      <c r="G19" s="15" t="str">
        <f t="shared" si="4"/>
        <v>#N/A</v>
      </c>
      <c r="H19" s="15" t="str">
        <f t="shared" si="5"/>
        <v>#N/A</v>
      </c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4.25" customHeight="1">
      <c r="A20" s="12" t="s">
        <v>201</v>
      </c>
      <c r="B20" s="12" t="s">
        <v>190</v>
      </c>
      <c r="C20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0" s="12" t="s">
        <v>202</v>
      </c>
      <c r="E20" s="14">
        <v>-460.0</v>
      </c>
      <c r="F20" s="14" t="s">
        <v>203</v>
      </c>
      <c r="G20" s="15" t="str">
        <f t="shared" si="4"/>
        <v>#N/A</v>
      </c>
      <c r="H20" s="15" t="str">
        <f t="shared" si="5"/>
        <v>#N/A</v>
      </c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4.25" customHeight="1">
      <c r="A21" s="12" t="s">
        <v>204</v>
      </c>
      <c r="B21" s="12" t="s">
        <v>190</v>
      </c>
      <c r="C21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1" s="12" t="s">
        <v>205</v>
      </c>
      <c r="E21" s="14">
        <v>-400.0</v>
      </c>
      <c r="F21" s="14"/>
      <c r="G21" s="15" t="str">
        <f t="shared" si="4"/>
        <v>#N/A</v>
      </c>
      <c r="H21" s="15" t="str">
        <f t="shared" si="5"/>
        <v>#N/A</v>
      </c>
      <c r="I21" s="8" t="s">
        <v>206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4.25" customHeight="1">
      <c r="A22" s="12" t="s">
        <v>207</v>
      </c>
      <c r="B22" s="12" t="s">
        <v>190</v>
      </c>
      <c r="C22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2" s="12" t="s">
        <v>208</v>
      </c>
      <c r="E22" s="14">
        <v>0.0</v>
      </c>
      <c r="F22" s="14"/>
      <c r="G22" s="15" t="str">
        <f t="shared" si="4"/>
        <v>#N/A</v>
      </c>
      <c r="H22" s="15" t="str">
        <f t="shared" si="5"/>
        <v>#N/A</v>
      </c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4.25" customHeight="1">
      <c r="A23" s="12" t="s">
        <v>209</v>
      </c>
      <c r="B23" s="12" t="s">
        <v>190</v>
      </c>
      <c r="C23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3" s="12" t="s">
        <v>210</v>
      </c>
      <c r="E23" s="14">
        <v>-250.0</v>
      </c>
      <c r="F23" s="14"/>
      <c r="G23" s="15" t="str">
        <f t="shared" si="4"/>
        <v>#N/A</v>
      </c>
      <c r="H23" s="15" t="str">
        <f t="shared" si="5"/>
        <v>#N/A</v>
      </c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4.25" customHeight="1">
      <c r="A24" s="12" t="s">
        <v>211</v>
      </c>
      <c r="B24" s="12" t="s">
        <v>190</v>
      </c>
      <c r="C24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4" s="12" t="s">
        <v>212</v>
      </c>
      <c r="E24" s="14">
        <v>-1000.0</v>
      </c>
      <c r="F24" s="14"/>
      <c r="G24" s="15" t="str">
        <f t="shared" si="4"/>
        <v>#N/A</v>
      </c>
      <c r="H24" s="15" t="str">
        <f t="shared" si="5"/>
        <v>#N/A</v>
      </c>
      <c r="I24" s="8" t="s">
        <v>213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4.25" customHeight="1">
      <c r="A25" s="12" t="s">
        <v>214</v>
      </c>
      <c r="B25" s="12" t="s">
        <v>190</v>
      </c>
      <c r="C25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5" s="12" t="s">
        <v>215</v>
      </c>
      <c r="E25" s="14"/>
      <c r="F25" s="14">
        <v>350.0</v>
      </c>
      <c r="G25" s="15" t="str">
        <f t="shared" si="4"/>
        <v>#N/A</v>
      </c>
      <c r="H25" s="15" t="str">
        <f t="shared" si="5"/>
        <v>#N/A</v>
      </c>
      <c r="I25" s="8" t="s">
        <v>216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4.25" customHeight="1">
      <c r="A26" s="12" t="s">
        <v>217</v>
      </c>
      <c r="B26" s="12" t="s">
        <v>190</v>
      </c>
      <c r="C26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6" s="12" t="s">
        <v>218</v>
      </c>
      <c r="E26" s="14">
        <v>-100.0</v>
      </c>
      <c r="F26" s="14"/>
      <c r="G26" s="15" t="str">
        <f t="shared" si="4"/>
        <v>#N/A</v>
      </c>
      <c r="H26" s="15" t="str">
        <f t="shared" si="5"/>
        <v>#N/A</v>
      </c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4.25" customHeight="1">
      <c r="A27" s="12" t="s">
        <v>219</v>
      </c>
      <c r="B27" s="12" t="s">
        <v>190</v>
      </c>
      <c r="C27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7" s="12" t="s">
        <v>220</v>
      </c>
      <c r="E27" s="14">
        <v>-100.0</v>
      </c>
      <c r="F27" s="14">
        <v>150.0</v>
      </c>
      <c r="G27" s="15" t="str">
        <f t="shared" si="4"/>
        <v>#N/A</v>
      </c>
      <c r="H27" s="15" t="str">
        <f t="shared" si="5"/>
        <v>#N/A</v>
      </c>
      <c r="I27" s="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4.25" customHeight="1">
      <c r="A28" s="12" t="s">
        <v>221</v>
      </c>
      <c r="B28" s="12" t="s">
        <v>190</v>
      </c>
      <c r="C28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8" s="12" t="s">
        <v>222</v>
      </c>
      <c r="E28" s="14">
        <v>-100.0</v>
      </c>
      <c r="F28" s="14">
        <v>200.0</v>
      </c>
      <c r="G28" s="15" t="str">
        <f t="shared" si="4"/>
        <v>#N/A</v>
      </c>
      <c r="H28" s="15" t="str">
        <f t="shared" si="5"/>
        <v>#N/A</v>
      </c>
      <c r="I28" s="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4.25" customHeight="1">
      <c r="A29" s="12"/>
      <c r="B29" s="20" t="s">
        <v>186</v>
      </c>
      <c r="C29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29" s="21"/>
      <c r="E29" s="22">
        <f t="shared" ref="E29:H29" si="6">SUM(E15:E28)</f>
        <v>-3485</v>
      </c>
      <c r="F29" s="22">
        <f t="shared" si="6"/>
        <v>1770</v>
      </c>
      <c r="G29" s="23" t="str">
        <f t="shared" si="6"/>
        <v>#N/A</v>
      </c>
      <c r="H29" s="23" t="str">
        <f t="shared" si="6"/>
        <v>#N/A</v>
      </c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7"/>
    </row>
    <row r="30" ht="14.25" customHeight="1">
      <c r="A30" s="12"/>
      <c r="B30" s="26" t="s">
        <v>223</v>
      </c>
      <c r="C30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30" s="27"/>
      <c r="E30" s="28"/>
      <c r="F30" s="28">
        <f>F29+E29</f>
        <v>-1715</v>
      </c>
      <c r="G30" s="29"/>
      <c r="H30" s="29" t="str">
        <f>H29+G29</f>
        <v>#N/A</v>
      </c>
      <c r="I30" s="30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7"/>
    </row>
    <row r="31" ht="14.25" customHeight="1">
      <c r="A31" s="12"/>
      <c r="B31" s="12"/>
      <c r="C31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31" s="12"/>
      <c r="E31" s="14"/>
      <c r="F31" s="14"/>
      <c r="G31" s="10"/>
      <c r="H31" s="34"/>
      <c r="I31" s="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4.25" customHeight="1">
      <c r="A32" s="12" t="s">
        <v>224</v>
      </c>
      <c r="B32" s="12" t="s">
        <v>225</v>
      </c>
      <c r="C32" s="12" t="s">
        <v>226</v>
      </c>
      <c r="D32" s="12" t="s">
        <v>168</v>
      </c>
      <c r="E32" s="14"/>
      <c r="F32" s="14">
        <v>1150.0</v>
      </c>
      <c r="G32" s="15" t="str">
        <f t="shared" ref="G32:G40" si="7">SUM(SUMIFS(GL!$C:$C,GL!$G:$G,CONCATENATE(A32,"*"),GL!$F:$F,"Refund"),SUMIFS(GL!$C:$C,GL!$G:$G,CONCATENATE(A32,"*"),GL!$F:$F,"Expense"))</f>
        <v>#N/A</v>
      </c>
      <c r="H32" s="15" t="str">
        <f t="shared" ref="H32:H40" si="8">SUMIFS(GL!$C:$C,GL!$G:$G,CONCATENATE($A32,"*"),GL!$F:$F,"Income")</f>
        <v>#N/A</v>
      </c>
      <c r="I32" s="8" t="s">
        <v>227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12" t="s">
        <v>228</v>
      </c>
      <c r="B33" s="12" t="s">
        <v>225</v>
      </c>
      <c r="C33" s="12" t="s">
        <v>226</v>
      </c>
      <c r="D33" s="12" t="s">
        <v>170</v>
      </c>
      <c r="E33" s="14">
        <v>-360.0</v>
      </c>
      <c r="F33" s="14"/>
      <c r="G33" s="15" t="str">
        <f t="shared" si="7"/>
        <v>#N/A</v>
      </c>
      <c r="H33" s="15" t="str">
        <f t="shared" si="8"/>
        <v>#N/A</v>
      </c>
      <c r="I33" s="8" t="s">
        <v>229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12" t="s">
        <v>230</v>
      </c>
      <c r="B34" s="12" t="s">
        <v>225</v>
      </c>
      <c r="C34" s="12" t="s">
        <v>226</v>
      </c>
      <c r="D34" s="12" t="s">
        <v>231</v>
      </c>
      <c r="E34" s="14">
        <v>0.0</v>
      </c>
      <c r="F34" s="14"/>
      <c r="G34" s="15" t="str">
        <f t="shared" si="7"/>
        <v>#N/A</v>
      </c>
      <c r="H34" s="15" t="str">
        <f t="shared" si="8"/>
        <v>#N/A</v>
      </c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4.25" customHeight="1">
      <c r="A35" s="12" t="s">
        <v>232</v>
      </c>
      <c r="B35" s="12" t="s">
        <v>225</v>
      </c>
      <c r="C35" s="12" t="s">
        <v>226</v>
      </c>
      <c r="D35" s="12" t="s">
        <v>176</v>
      </c>
      <c r="E35" s="14">
        <v>-100.0</v>
      </c>
      <c r="F35" s="14"/>
      <c r="G35" s="15" t="str">
        <f t="shared" si="7"/>
        <v>#N/A</v>
      </c>
      <c r="H35" s="15" t="str">
        <f t="shared" si="8"/>
        <v>#N/A</v>
      </c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4.25" customHeight="1">
      <c r="A36" s="12" t="s">
        <v>233</v>
      </c>
      <c r="B36" s="12" t="s">
        <v>225</v>
      </c>
      <c r="C36" s="12" t="s">
        <v>226</v>
      </c>
      <c r="D36" s="12" t="s">
        <v>234</v>
      </c>
      <c r="E36" s="14">
        <v>-100.0</v>
      </c>
      <c r="F36" s="14">
        <v>150.0</v>
      </c>
      <c r="G36" s="15" t="str">
        <f t="shared" si="7"/>
        <v>#N/A</v>
      </c>
      <c r="H36" s="15" t="str">
        <f t="shared" si="8"/>
        <v>#N/A</v>
      </c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4.25" customHeight="1">
      <c r="A37" s="12" t="s">
        <v>235</v>
      </c>
      <c r="B37" s="12" t="s">
        <v>225</v>
      </c>
      <c r="C37" s="12" t="s">
        <v>226</v>
      </c>
      <c r="D37" s="12" t="s">
        <v>236</v>
      </c>
      <c r="E37" s="14">
        <v>-100.0</v>
      </c>
      <c r="F37" s="14">
        <v>200.0</v>
      </c>
      <c r="G37" s="15" t="str">
        <f t="shared" si="7"/>
        <v>#N/A</v>
      </c>
      <c r="H37" s="15" t="str">
        <f t="shared" si="8"/>
        <v>#N/A</v>
      </c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4.25" customHeight="1">
      <c r="A38" s="12" t="s">
        <v>237</v>
      </c>
      <c r="B38" s="12" t="s">
        <v>225</v>
      </c>
      <c r="C38" s="12" t="s">
        <v>226</v>
      </c>
      <c r="D38" s="12" t="s">
        <v>238</v>
      </c>
      <c r="E38" s="14">
        <v>-50.0</v>
      </c>
      <c r="F38" s="14"/>
      <c r="G38" s="15" t="str">
        <f t="shared" si="7"/>
        <v>#N/A</v>
      </c>
      <c r="H38" s="15" t="str">
        <f t="shared" si="8"/>
        <v>#N/A</v>
      </c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12" t="s">
        <v>239</v>
      </c>
      <c r="B39" s="12" t="s">
        <v>225</v>
      </c>
      <c r="C39" s="12" t="s">
        <v>226</v>
      </c>
      <c r="D39" s="12" t="s">
        <v>240</v>
      </c>
      <c r="E39" s="14">
        <v>0.0</v>
      </c>
      <c r="F39" s="14">
        <v>0.0</v>
      </c>
      <c r="G39" s="15" t="str">
        <f t="shared" si="7"/>
        <v>#N/A</v>
      </c>
      <c r="H39" s="15" t="str">
        <f t="shared" si="8"/>
        <v>#N/A</v>
      </c>
      <c r="I39" s="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12" t="s">
        <v>241</v>
      </c>
      <c r="B40" s="12" t="s">
        <v>225</v>
      </c>
      <c r="C40" s="12" t="s">
        <v>226</v>
      </c>
      <c r="D40" s="12" t="s">
        <v>180</v>
      </c>
      <c r="E40" s="14"/>
      <c r="F40" s="14">
        <v>1000.0</v>
      </c>
      <c r="G40" s="15" t="str">
        <f t="shared" si="7"/>
        <v>#N/A</v>
      </c>
      <c r="H40" s="15" t="str">
        <f t="shared" si="8"/>
        <v>#N/A</v>
      </c>
      <c r="I40" s="8" t="s">
        <v>242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12"/>
      <c r="B41" s="20" t="s">
        <v>186</v>
      </c>
      <c r="C41" s="21" t="s">
        <v>226</v>
      </c>
      <c r="D41" s="21"/>
      <c r="E41" s="22">
        <f t="shared" ref="E41:H41" si="9">SUM(E32:E40)</f>
        <v>-710</v>
      </c>
      <c r="F41" s="22">
        <f t="shared" si="9"/>
        <v>2500</v>
      </c>
      <c r="G41" s="23" t="str">
        <f t="shared" si="9"/>
        <v>#N/A</v>
      </c>
      <c r="H41" s="23" t="str">
        <f t="shared" si="9"/>
        <v>#N/A</v>
      </c>
      <c r="I41" s="24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7"/>
    </row>
    <row r="42" ht="14.25" customHeight="1">
      <c r="A42" s="12"/>
      <c r="B42" s="26" t="s">
        <v>187</v>
      </c>
      <c r="C42" s="27" t="s">
        <v>226</v>
      </c>
      <c r="D42" s="27"/>
      <c r="E42" s="28"/>
      <c r="F42" s="28">
        <f>F41+E41</f>
        <v>1790</v>
      </c>
      <c r="G42" s="29"/>
      <c r="H42" s="29" t="str">
        <f>H41+G41</f>
        <v>#N/A</v>
      </c>
      <c r="I42" s="30" t="s">
        <v>243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7"/>
    </row>
    <row r="43" ht="14.25" customHeight="1">
      <c r="A43" s="12"/>
      <c r="B43" s="12"/>
      <c r="C43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43" s="12"/>
      <c r="E43" s="14"/>
      <c r="F43" s="14"/>
      <c r="G43" s="10"/>
      <c r="H43" s="34"/>
      <c r="I43" s="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12" t="s">
        <v>244</v>
      </c>
      <c r="B44" s="12" t="s">
        <v>245</v>
      </c>
      <c r="C44" s="13" t="s">
        <v>90</v>
      </c>
      <c r="D44" s="12" t="s">
        <v>183</v>
      </c>
      <c r="E44" s="14"/>
      <c r="F44" s="14"/>
      <c r="G44" s="15" t="str">
        <f t="shared" ref="G44:G59" si="10">SUM(SUMIFS(GL!$C:$C,GL!$G:$G,CONCATENATE(A44,"*"),GL!$F:$F,"Refund"),SUMIFS(GL!$C:$C,GL!$G:$G,CONCATENATE(A44,"*"),GL!$F:$F,"Expense"))</f>
        <v>#N/A</v>
      </c>
      <c r="H44" s="15" t="str">
        <f t="shared" ref="H44:H59" si="11">SUMIFS(GL!$C:$C,GL!$G:$G,CONCATENATE($A44,"*"),GL!$F:$F,"Income")</f>
        <v>#N/A</v>
      </c>
      <c r="I44" s="8" t="s">
        <v>246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12" t="s">
        <v>247</v>
      </c>
      <c r="B45" s="12" t="s">
        <v>245</v>
      </c>
      <c r="C45" s="13" t="s">
        <v>90</v>
      </c>
      <c r="D45" s="12" t="s">
        <v>168</v>
      </c>
      <c r="E45" s="14"/>
      <c r="F45" s="14">
        <v>4900.0</v>
      </c>
      <c r="G45" s="15" t="str">
        <f t="shared" si="10"/>
        <v>#N/A</v>
      </c>
      <c r="H45" s="15" t="str">
        <f t="shared" si="11"/>
        <v>#N/A</v>
      </c>
      <c r="I45" s="8" t="s">
        <v>248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12" t="s">
        <v>249</v>
      </c>
      <c r="B46" s="12" t="s">
        <v>245</v>
      </c>
      <c r="C46" s="13" t="s">
        <v>90</v>
      </c>
      <c r="D46" s="12" t="s">
        <v>238</v>
      </c>
      <c r="E46" s="14">
        <v>-300.0</v>
      </c>
      <c r="F46" s="14"/>
      <c r="G46" s="15" t="str">
        <f t="shared" si="10"/>
        <v>#N/A</v>
      </c>
      <c r="H46" s="15" t="str">
        <f t="shared" si="11"/>
        <v>#N/A</v>
      </c>
      <c r="I46" s="8" t="s">
        <v>250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12" t="s">
        <v>251</v>
      </c>
      <c r="B47" s="12" t="s">
        <v>245</v>
      </c>
      <c r="C47" s="13" t="s">
        <v>90</v>
      </c>
      <c r="D47" s="12" t="s">
        <v>170</v>
      </c>
      <c r="E47" s="14">
        <v>-720.0</v>
      </c>
      <c r="F47" s="14">
        <v>90.0</v>
      </c>
      <c r="G47" s="15" t="str">
        <f t="shared" si="10"/>
        <v>#N/A</v>
      </c>
      <c r="H47" s="15" t="str">
        <f t="shared" si="11"/>
        <v>#N/A</v>
      </c>
      <c r="I47" s="8" t="s">
        <v>252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12" t="s">
        <v>253</v>
      </c>
      <c r="B48" s="12" t="s">
        <v>245</v>
      </c>
      <c r="C48" s="13" t="s">
        <v>90</v>
      </c>
      <c r="D48" s="12" t="s">
        <v>240</v>
      </c>
      <c r="E48" s="14">
        <v>-2600.0</v>
      </c>
      <c r="F48" s="14"/>
      <c r="G48" s="15" t="str">
        <f t="shared" si="10"/>
        <v>#N/A</v>
      </c>
      <c r="H48" s="15" t="str">
        <f t="shared" si="11"/>
        <v>#N/A</v>
      </c>
      <c r="I48" s="8" t="s">
        <v>254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12" t="s">
        <v>255</v>
      </c>
      <c r="B49" s="12" t="s">
        <v>245</v>
      </c>
      <c r="C49" s="13" t="s">
        <v>90</v>
      </c>
      <c r="D49" s="12" t="s">
        <v>198</v>
      </c>
      <c r="E49" s="14">
        <v>-1100.0</v>
      </c>
      <c r="F49" s="14"/>
      <c r="G49" s="15" t="str">
        <f t="shared" si="10"/>
        <v>#N/A</v>
      </c>
      <c r="H49" s="15" t="str">
        <f t="shared" si="11"/>
        <v>#N/A</v>
      </c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12" t="s">
        <v>256</v>
      </c>
      <c r="B50" s="12" t="s">
        <v>245</v>
      </c>
      <c r="C50" s="13" t="s">
        <v>90</v>
      </c>
      <c r="D50" s="12" t="s">
        <v>200</v>
      </c>
      <c r="E50" s="14">
        <v>-430.0</v>
      </c>
      <c r="F50" s="14"/>
      <c r="G50" s="15" t="str">
        <f t="shared" si="10"/>
        <v>#N/A</v>
      </c>
      <c r="H50" s="15" t="str">
        <f t="shared" si="11"/>
        <v>#N/A</v>
      </c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12" t="s">
        <v>257</v>
      </c>
      <c r="B51" s="12" t="s">
        <v>245</v>
      </c>
      <c r="C51" s="13" t="s">
        <v>90</v>
      </c>
      <c r="D51" s="12" t="s">
        <v>202</v>
      </c>
      <c r="E51" s="14">
        <v>-1000.0</v>
      </c>
      <c r="F51" s="14"/>
      <c r="G51" s="15" t="str">
        <f t="shared" si="10"/>
        <v>#N/A</v>
      </c>
      <c r="H51" s="15" t="str">
        <f t="shared" si="11"/>
        <v>#N/A</v>
      </c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12" t="s">
        <v>258</v>
      </c>
      <c r="B52" s="12" t="s">
        <v>245</v>
      </c>
      <c r="C52" s="13" t="s">
        <v>90</v>
      </c>
      <c r="D52" s="12" t="s">
        <v>234</v>
      </c>
      <c r="E52" s="14">
        <v>-300.0</v>
      </c>
      <c r="F52" s="14">
        <v>600.0</v>
      </c>
      <c r="G52" s="15" t="str">
        <f t="shared" si="10"/>
        <v>#N/A</v>
      </c>
      <c r="H52" s="15" t="str">
        <f t="shared" si="11"/>
        <v>#N/A</v>
      </c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12" t="s">
        <v>259</v>
      </c>
      <c r="B53" s="12" t="s">
        <v>245</v>
      </c>
      <c r="C53" s="13" t="s">
        <v>90</v>
      </c>
      <c r="D53" s="12" t="s">
        <v>260</v>
      </c>
      <c r="E53" s="14">
        <v>-500.0</v>
      </c>
      <c r="F53" s="14"/>
      <c r="G53" s="15" t="str">
        <f t="shared" si="10"/>
        <v>#N/A</v>
      </c>
      <c r="H53" s="15" t="str">
        <f t="shared" si="11"/>
        <v>#N/A</v>
      </c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12" t="s">
        <v>261</v>
      </c>
      <c r="B54" s="12" t="s">
        <v>245</v>
      </c>
      <c r="C54" s="13" t="s">
        <v>90</v>
      </c>
      <c r="D54" s="12" t="s">
        <v>262</v>
      </c>
      <c r="E54" s="14" t="s">
        <v>203</v>
      </c>
      <c r="F54" s="14">
        <v>500.0</v>
      </c>
      <c r="G54" s="15" t="str">
        <f t="shared" si="10"/>
        <v>#N/A</v>
      </c>
      <c r="H54" s="15" t="str">
        <f t="shared" si="11"/>
        <v>#N/A</v>
      </c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12" t="s">
        <v>263</v>
      </c>
      <c r="B55" s="12" t="s">
        <v>245</v>
      </c>
      <c r="C55" s="13" t="s">
        <v>90</v>
      </c>
      <c r="D55" s="12" t="s">
        <v>180</v>
      </c>
      <c r="E55" s="14"/>
      <c r="F55" s="14">
        <v>5000.0</v>
      </c>
      <c r="G55" s="15" t="str">
        <f t="shared" si="10"/>
        <v>#N/A</v>
      </c>
      <c r="H55" s="15" t="str">
        <f t="shared" si="11"/>
        <v>#N/A</v>
      </c>
      <c r="I55" s="8" t="s">
        <v>264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12" t="s">
        <v>265</v>
      </c>
      <c r="B56" s="12" t="s">
        <v>245</v>
      </c>
      <c r="C56" s="13" t="s">
        <v>90</v>
      </c>
      <c r="D56" s="12" t="s">
        <v>236</v>
      </c>
      <c r="E56" s="14">
        <v>-200.0</v>
      </c>
      <c r="F56" s="14">
        <v>400.0</v>
      </c>
      <c r="G56" s="15" t="str">
        <f t="shared" si="10"/>
        <v>#N/A</v>
      </c>
      <c r="H56" s="15" t="str">
        <f t="shared" si="11"/>
        <v>#N/A</v>
      </c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12" t="s">
        <v>266</v>
      </c>
      <c r="B57" s="12" t="s">
        <v>245</v>
      </c>
      <c r="C57" s="13" t="s">
        <v>90</v>
      </c>
      <c r="D57" s="12" t="s">
        <v>176</v>
      </c>
      <c r="E57" s="14">
        <v>-600.0</v>
      </c>
      <c r="F57" s="14"/>
      <c r="G57" s="15" t="str">
        <f t="shared" si="10"/>
        <v>#N/A</v>
      </c>
      <c r="H57" s="15" t="str">
        <f t="shared" si="11"/>
        <v>#N/A</v>
      </c>
      <c r="I57" s="8" t="s">
        <v>267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12" t="s">
        <v>268</v>
      </c>
      <c r="B58" s="12" t="s">
        <v>245</v>
      </c>
      <c r="C58" s="13" t="s">
        <v>90</v>
      </c>
      <c r="D58" s="12" t="s">
        <v>269</v>
      </c>
      <c r="E58" s="14">
        <v>-300.0</v>
      </c>
      <c r="F58" s="14"/>
      <c r="G58" s="15" t="str">
        <f t="shared" si="10"/>
        <v>#N/A</v>
      </c>
      <c r="H58" s="15" t="str">
        <f t="shared" si="11"/>
        <v>#N/A</v>
      </c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12" t="s">
        <v>270</v>
      </c>
      <c r="B59" s="12" t="s">
        <v>245</v>
      </c>
      <c r="C59" s="13" t="s">
        <v>90</v>
      </c>
      <c r="D59" s="12" t="s">
        <v>271</v>
      </c>
      <c r="E59" s="14">
        <v>-100.0</v>
      </c>
      <c r="F59" s="14"/>
      <c r="G59" s="15" t="str">
        <f t="shared" si="10"/>
        <v>#N/A</v>
      </c>
      <c r="H59" s="15" t="str">
        <f t="shared" si="11"/>
        <v>#N/A</v>
      </c>
      <c r="I59" s="8" t="s">
        <v>272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12"/>
      <c r="B60" s="20" t="s">
        <v>186</v>
      </c>
      <c r="C60" s="21" t="s">
        <v>273</v>
      </c>
      <c r="D60" s="21"/>
      <c r="E60" s="22">
        <f t="shared" ref="E60:H60" si="12">SUM(E44:E59)</f>
        <v>-8150</v>
      </c>
      <c r="F60" s="22">
        <f t="shared" si="12"/>
        <v>11490</v>
      </c>
      <c r="G60" s="23" t="str">
        <f t="shared" si="12"/>
        <v>#N/A</v>
      </c>
      <c r="H60" s="23" t="str">
        <f t="shared" si="12"/>
        <v>#N/A</v>
      </c>
      <c r="I60" s="24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7"/>
    </row>
    <row r="61" ht="14.25" customHeight="1">
      <c r="A61" s="12"/>
      <c r="B61" s="26" t="s">
        <v>187</v>
      </c>
      <c r="C61" s="27" t="s">
        <v>273</v>
      </c>
      <c r="D61" s="27"/>
      <c r="E61" s="28"/>
      <c r="F61" s="28">
        <f>F60+E60</f>
        <v>3340</v>
      </c>
      <c r="G61" s="29"/>
      <c r="H61" s="29" t="str">
        <f>H60+G60</f>
        <v>#N/A</v>
      </c>
      <c r="I61" s="30" t="s">
        <v>274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7"/>
    </row>
    <row r="62" ht="14.25" customHeight="1">
      <c r="A62" s="12"/>
      <c r="B62" s="12"/>
      <c r="C62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62" s="12"/>
      <c r="E62" s="14"/>
      <c r="F62" s="14"/>
      <c r="G62" s="10"/>
      <c r="H62" s="33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12" t="s">
        <v>275</v>
      </c>
      <c r="B63" s="12" t="s">
        <v>276</v>
      </c>
      <c r="C63" s="12" t="s">
        <v>277</v>
      </c>
      <c r="D63" s="12" t="s">
        <v>278</v>
      </c>
      <c r="E63" s="14"/>
      <c r="F63" s="14">
        <v>1150.0</v>
      </c>
      <c r="G63" s="15" t="str">
        <f t="shared" ref="G63:G71" si="13">SUM(SUMIFS(GL!$C:$C,GL!$G:$G,CONCATENATE(A63,"*"),GL!$F:$F,"Refund"),SUMIFS(GL!$C:$C,GL!$G:$G,CONCATENATE(A63,"*"),GL!$F:$F,"Expense"))</f>
        <v>#N/A</v>
      </c>
      <c r="H63" s="15" t="str">
        <f t="shared" ref="H63:H71" si="14">SUMIFS(GL!$C:$C,GL!$G:$G,CONCATENATE($A63,"*"),GL!$F:$F,"Income")</f>
        <v>#N/A</v>
      </c>
      <c r="I63" s="8" t="s">
        <v>227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12" t="s">
        <v>279</v>
      </c>
      <c r="B64" s="12" t="s">
        <v>280</v>
      </c>
      <c r="C64" s="12" t="s">
        <v>277</v>
      </c>
      <c r="D64" s="12" t="s">
        <v>170</v>
      </c>
      <c r="E64" s="14">
        <v>-360.0</v>
      </c>
      <c r="F64" s="14"/>
      <c r="G64" s="15" t="str">
        <f t="shared" si="13"/>
        <v>#N/A</v>
      </c>
      <c r="H64" s="15" t="str">
        <f t="shared" si="14"/>
        <v>#N/A</v>
      </c>
      <c r="I64" s="8" t="s">
        <v>281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12" t="s">
        <v>282</v>
      </c>
      <c r="B65" s="12" t="s">
        <v>283</v>
      </c>
      <c r="C65" s="12" t="s">
        <v>277</v>
      </c>
      <c r="D65" s="12" t="s">
        <v>231</v>
      </c>
      <c r="E65" s="14"/>
      <c r="F65" s="14"/>
      <c r="G65" s="15" t="str">
        <f t="shared" si="13"/>
        <v>#N/A</v>
      </c>
      <c r="H65" s="15" t="str">
        <f t="shared" si="14"/>
        <v>#N/A</v>
      </c>
      <c r="I65" s="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12" t="s">
        <v>284</v>
      </c>
      <c r="B66" s="12" t="s">
        <v>285</v>
      </c>
      <c r="C66" s="12" t="s">
        <v>277</v>
      </c>
      <c r="D66" s="12" t="s">
        <v>269</v>
      </c>
      <c r="E66" s="14">
        <v>-100.0</v>
      </c>
      <c r="F66" s="14"/>
      <c r="G66" s="15" t="str">
        <f t="shared" si="13"/>
        <v>#N/A</v>
      </c>
      <c r="H66" s="15" t="str">
        <f t="shared" si="14"/>
        <v>#N/A</v>
      </c>
      <c r="I66" s="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12" t="s">
        <v>286</v>
      </c>
      <c r="B67" s="12" t="s">
        <v>287</v>
      </c>
      <c r="C67" s="12" t="s">
        <v>277</v>
      </c>
      <c r="D67" s="12" t="s">
        <v>234</v>
      </c>
      <c r="E67" s="14">
        <v>-100.0</v>
      </c>
      <c r="F67" s="14">
        <v>150.0</v>
      </c>
      <c r="G67" s="15" t="str">
        <f t="shared" si="13"/>
        <v>#N/A</v>
      </c>
      <c r="H67" s="15" t="str">
        <f t="shared" si="14"/>
        <v>#N/A</v>
      </c>
      <c r="I67" s="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12" t="s">
        <v>288</v>
      </c>
      <c r="B68" s="12" t="s">
        <v>289</v>
      </c>
      <c r="C68" s="12" t="s">
        <v>277</v>
      </c>
      <c r="D68" s="12" t="s">
        <v>236</v>
      </c>
      <c r="E68" s="14">
        <v>-100.0</v>
      </c>
      <c r="F68" s="14">
        <v>200.0</v>
      </c>
      <c r="G68" s="15" t="str">
        <f t="shared" si="13"/>
        <v>#N/A</v>
      </c>
      <c r="H68" s="15" t="str">
        <f t="shared" si="14"/>
        <v>#N/A</v>
      </c>
      <c r="I68" s="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12" t="s">
        <v>290</v>
      </c>
      <c r="B69" s="12" t="s">
        <v>291</v>
      </c>
      <c r="C69" s="12" t="s">
        <v>277</v>
      </c>
      <c r="D69" s="12" t="s">
        <v>238</v>
      </c>
      <c r="E69" s="14">
        <v>-50.0</v>
      </c>
      <c r="F69" s="14"/>
      <c r="G69" s="15" t="str">
        <f t="shared" si="13"/>
        <v>#N/A</v>
      </c>
      <c r="H69" s="15" t="str">
        <f t="shared" si="14"/>
        <v>#N/A</v>
      </c>
      <c r="I69" s="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12" t="s">
        <v>292</v>
      </c>
      <c r="B70" s="12" t="s">
        <v>293</v>
      </c>
      <c r="C70" s="12" t="s">
        <v>277</v>
      </c>
      <c r="D70" s="12" t="s">
        <v>240</v>
      </c>
      <c r="E70" s="14">
        <v>0.0</v>
      </c>
      <c r="F70" s="14">
        <v>0.0</v>
      </c>
      <c r="G70" s="15" t="str">
        <f t="shared" si="13"/>
        <v>#N/A</v>
      </c>
      <c r="H70" s="15" t="str">
        <f t="shared" si="14"/>
        <v>#N/A</v>
      </c>
      <c r="I70" s="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12" t="s">
        <v>294</v>
      </c>
      <c r="B71" s="12" t="s">
        <v>295</v>
      </c>
      <c r="C71" s="12" t="s">
        <v>277</v>
      </c>
      <c r="D71" s="12" t="s">
        <v>180</v>
      </c>
      <c r="E71" s="14"/>
      <c r="F71" s="14">
        <v>1000.0</v>
      </c>
      <c r="G71" s="15" t="str">
        <f t="shared" si="13"/>
        <v>#N/A</v>
      </c>
      <c r="H71" s="15" t="str">
        <f t="shared" si="14"/>
        <v>#N/A</v>
      </c>
      <c r="I71" s="8" t="s">
        <v>242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12"/>
      <c r="B72" s="20" t="s">
        <v>186</v>
      </c>
      <c r="C72" s="21" t="s">
        <v>277</v>
      </c>
      <c r="D72" s="21"/>
      <c r="E72" s="22">
        <f t="shared" ref="E72:H72" si="15">SUM(E63:E71)</f>
        <v>-710</v>
      </c>
      <c r="F72" s="22">
        <f t="shared" si="15"/>
        <v>2500</v>
      </c>
      <c r="G72" s="23" t="str">
        <f t="shared" si="15"/>
        <v>#N/A</v>
      </c>
      <c r="H72" s="23" t="str">
        <f t="shared" si="15"/>
        <v>#N/A</v>
      </c>
      <c r="I72" s="2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7"/>
    </row>
    <row r="73" ht="14.25" customHeight="1">
      <c r="A73" s="12"/>
      <c r="B73" s="26" t="s">
        <v>187</v>
      </c>
      <c r="C73" s="27" t="s">
        <v>277</v>
      </c>
      <c r="D73" s="27"/>
      <c r="E73" s="28"/>
      <c r="F73" s="28">
        <f>F72+E72</f>
        <v>1790</v>
      </c>
      <c r="G73" s="29"/>
      <c r="H73" s="29" t="str">
        <f>H72+G72</f>
        <v>#N/A</v>
      </c>
      <c r="I73" s="30" t="s">
        <v>243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7"/>
    </row>
    <row r="74" ht="14.25" customHeight="1">
      <c r="A74" s="12"/>
      <c r="B74" s="12"/>
      <c r="C74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74" s="12"/>
      <c r="E74" s="14"/>
      <c r="F74" s="14"/>
      <c r="G74" s="10"/>
      <c r="H74" s="34"/>
      <c r="I74" s="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12" t="s">
        <v>296</v>
      </c>
      <c r="B75" s="12" t="s">
        <v>297</v>
      </c>
      <c r="C75" s="13" t="s">
        <v>123</v>
      </c>
      <c r="D75" s="12" t="s">
        <v>298</v>
      </c>
      <c r="E75" s="14"/>
      <c r="F75" s="14"/>
      <c r="G75" s="15" t="str">
        <f t="shared" ref="G75:G91" si="16">SUM(SUMIFS(GL!$C:$C,GL!$G:$G,CONCATENATE(A75,"*"),GL!$F:$F,"Refund"),SUMIFS(GL!$C:$C,GL!$G:$G,CONCATENATE(A75,"*"),GL!$F:$F,"Expense"))</f>
        <v>#N/A</v>
      </c>
      <c r="H75" s="15" t="str">
        <f t="shared" ref="H75:H91" si="17">SUMIFS(GL!$C:$C,GL!$G:$G,CONCATENATE($A75,"*"),GL!$F:$F,"Income")</f>
        <v>#N/A</v>
      </c>
      <c r="I75" s="8" t="s">
        <v>299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12" t="s">
        <v>300</v>
      </c>
      <c r="B76" s="12" t="s">
        <v>297</v>
      </c>
      <c r="C76" s="13" t="s">
        <v>123</v>
      </c>
      <c r="D76" s="12" t="s">
        <v>168</v>
      </c>
      <c r="E76" s="14"/>
      <c r="F76" s="14">
        <v>7375.0</v>
      </c>
      <c r="G76" s="15" t="str">
        <f t="shared" si="16"/>
        <v>#N/A</v>
      </c>
      <c r="H76" s="15" t="str">
        <f t="shared" si="17"/>
        <v>#N/A</v>
      </c>
      <c r="I76" s="8" t="s">
        <v>301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12" t="s">
        <v>302</v>
      </c>
      <c r="B77" s="12" t="s">
        <v>297</v>
      </c>
      <c r="C77" s="13" t="s">
        <v>123</v>
      </c>
      <c r="D77" s="12" t="s">
        <v>238</v>
      </c>
      <c r="E77" s="14">
        <v>-375.0</v>
      </c>
      <c r="F77" s="14"/>
      <c r="G77" s="15" t="str">
        <f t="shared" si="16"/>
        <v>#N/A</v>
      </c>
      <c r="H77" s="15" t="str">
        <f t="shared" si="17"/>
        <v>#N/A</v>
      </c>
      <c r="I77" s="8" t="s">
        <v>303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12" t="s">
        <v>304</v>
      </c>
      <c r="B78" s="12" t="s">
        <v>297</v>
      </c>
      <c r="C78" s="13" t="s">
        <v>123</v>
      </c>
      <c r="D78" s="12" t="s">
        <v>170</v>
      </c>
      <c r="E78" s="14">
        <v>-1200.0</v>
      </c>
      <c r="F78" s="14">
        <v>525.0</v>
      </c>
      <c r="G78" s="15" t="str">
        <f t="shared" si="16"/>
        <v>#N/A</v>
      </c>
      <c r="H78" s="15" t="str">
        <f t="shared" si="17"/>
        <v>#N/A</v>
      </c>
      <c r="I78" s="8" t="s">
        <v>305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12" t="s">
        <v>306</v>
      </c>
      <c r="B79" s="12" t="s">
        <v>297</v>
      </c>
      <c r="C79" s="13" t="s">
        <v>123</v>
      </c>
      <c r="D79" s="12" t="s">
        <v>240</v>
      </c>
      <c r="E79" s="14">
        <v>-3120.0</v>
      </c>
      <c r="F79" s="14"/>
      <c r="G79" s="15" t="str">
        <f t="shared" si="16"/>
        <v>#N/A</v>
      </c>
      <c r="H79" s="15" t="str">
        <f t="shared" si="17"/>
        <v>#N/A</v>
      </c>
      <c r="I79" s="8" t="s">
        <v>254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12" t="s">
        <v>307</v>
      </c>
      <c r="B80" s="12" t="s">
        <v>297</v>
      </c>
      <c r="C80" s="13" t="s">
        <v>123</v>
      </c>
      <c r="D80" s="12" t="s">
        <v>198</v>
      </c>
      <c r="E80" s="14">
        <v>-2500.0</v>
      </c>
      <c r="F80" s="14"/>
      <c r="G80" s="15" t="str">
        <f t="shared" si="16"/>
        <v>#N/A</v>
      </c>
      <c r="H80" s="15" t="str">
        <f t="shared" si="17"/>
        <v>#N/A</v>
      </c>
      <c r="I80" s="8" t="s">
        <v>308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12" t="s">
        <v>309</v>
      </c>
      <c r="B81" s="12" t="s">
        <v>297</v>
      </c>
      <c r="C81" s="13" t="s">
        <v>123</v>
      </c>
      <c r="D81" s="12" t="s">
        <v>200</v>
      </c>
      <c r="E81" s="14">
        <v>-500.0</v>
      </c>
      <c r="F81" s="14"/>
      <c r="G81" s="15" t="str">
        <f t="shared" si="16"/>
        <v>#N/A</v>
      </c>
      <c r="H81" s="15" t="str">
        <f t="shared" si="17"/>
        <v>#N/A</v>
      </c>
      <c r="I81" s="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12" t="s">
        <v>310</v>
      </c>
      <c r="B82" s="12" t="s">
        <v>297</v>
      </c>
      <c r="C82" s="13" t="s">
        <v>123</v>
      </c>
      <c r="D82" s="12" t="s">
        <v>202</v>
      </c>
      <c r="E82" s="14">
        <v>-3000.0</v>
      </c>
      <c r="F82" s="14"/>
      <c r="G82" s="15" t="str">
        <f t="shared" si="16"/>
        <v>#N/A</v>
      </c>
      <c r="H82" s="15" t="str">
        <f t="shared" si="17"/>
        <v>#N/A</v>
      </c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12" t="s">
        <v>311</v>
      </c>
      <c r="B83" s="12" t="s">
        <v>297</v>
      </c>
      <c r="C83" s="13" t="s">
        <v>123</v>
      </c>
      <c r="D83" s="12" t="s">
        <v>234</v>
      </c>
      <c r="E83" s="14">
        <v>-300.0</v>
      </c>
      <c r="F83" s="14">
        <v>600.0</v>
      </c>
      <c r="G83" s="15" t="str">
        <f t="shared" si="16"/>
        <v>#N/A</v>
      </c>
      <c r="H83" s="15" t="str">
        <f t="shared" si="17"/>
        <v>#N/A</v>
      </c>
      <c r="I83" s="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12" t="s">
        <v>312</v>
      </c>
      <c r="B84" s="12" t="s">
        <v>297</v>
      </c>
      <c r="C84" s="13" t="s">
        <v>123</v>
      </c>
      <c r="D84" s="12" t="s">
        <v>260</v>
      </c>
      <c r="E84" s="14">
        <v>-1000.0</v>
      </c>
      <c r="F84" s="14"/>
      <c r="G84" s="15" t="str">
        <f t="shared" si="16"/>
        <v>#N/A</v>
      </c>
      <c r="H84" s="15" t="str">
        <f t="shared" si="17"/>
        <v>#N/A</v>
      </c>
      <c r="I84" s="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12" t="s">
        <v>313</v>
      </c>
      <c r="B85" s="12" t="s">
        <v>297</v>
      </c>
      <c r="C85" s="13" t="s">
        <v>123</v>
      </c>
      <c r="D85" s="12" t="s">
        <v>262</v>
      </c>
      <c r="E85" s="14" t="s">
        <v>203</v>
      </c>
      <c r="F85" s="14">
        <v>800.0</v>
      </c>
      <c r="G85" s="15" t="str">
        <f t="shared" si="16"/>
        <v>#N/A</v>
      </c>
      <c r="H85" s="15" t="str">
        <f t="shared" si="17"/>
        <v>#N/A</v>
      </c>
      <c r="I85" s="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12" t="s">
        <v>314</v>
      </c>
      <c r="B86" s="12" t="s">
        <v>297</v>
      </c>
      <c r="C86" s="13" t="s">
        <v>123</v>
      </c>
      <c r="D86" s="12" t="s">
        <v>180</v>
      </c>
      <c r="E86" s="14"/>
      <c r="F86" s="14">
        <v>10000.0</v>
      </c>
      <c r="G86" s="15" t="str">
        <f t="shared" si="16"/>
        <v>#N/A</v>
      </c>
      <c r="H86" s="15" t="str">
        <f t="shared" si="17"/>
        <v>#N/A</v>
      </c>
      <c r="I86" s="8" t="s">
        <v>315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12" t="s">
        <v>316</v>
      </c>
      <c r="B87" s="12" t="s">
        <v>297</v>
      </c>
      <c r="C87" s="13" t="s">
        <v>123</v>
      </c>
      <c r="D87" s="12" t="s">
        <v>236</v>
      </c>
      <c r="E87" s="14">
        <v>-200.0</v>
      </c>
      <c r="F87" s="14">
        <v>400.0</v>
      </c>
      <c r="G87" s="15" t="str">
        <f t="shared" si="16"/>
        <v>#N/A</v>
      </c>
      <c r="H87" s="15" t="str">
        <f t="shared" si="17"/>
        <v>#N/A</v>
      </c>
      <c r="I87" s="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12" t="s">
        <v>317</v>
      </c>
      <c r="B88" s="12" t="s">
        <v>297</v>
      </c>
      <c r="C88" s="13" t="s">
        <v>123</v>
      </c>
      <c r="D88" s="12" t="s">
        <v>176</v>
      </c>
      <c r="E88" s="14">
        <v>-900.0</v>
      </c>
      <c r="F88" s="14"/>
      <c r="G88" s="15" t="str">
        <f t="shared" si="16"/>
        <v>#N/A</v>
      </c>
      <c r="H88" s="15" t="str">
        <f t="shared" si="17"/>
        <v>#N/A</v>
      </c>
      <c r="I88" s="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12" t="s">
        <v>318</v>
      </c>
      <c r="B89" s="12" t="s">
        <v>297</v>
      </c>
      <c r="C89" s="13" t="s">
        <v>123</v>
      </c>
      <c r="D89" s="12" t="s">
        <v>269</v>
      </c>
      <c r="E89" s="14">
        <v>0.0</v>
      </c>
      <c r="F89" s="14"/>
      <c r="G89" s="15" t="str">
        <f t="shared" si="16"/>
        <v>#N/A</v>
      </c>
      <c r="H89" s="15" t="str">
        <f t="shared" si="17"/>
        <v>#N/A</v>
      </c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12" t="s">
        <v>319</v>
      </c>
      <c r="B90" s="12" t="s">
        <v>297</v>
      </c>
      <c r="C90" s="13" t="s">
        <v>123</v>
      </c>
      <c r="D90" s="12" t="s">
        <v>271</v>
      </c>
      <c r="E90" s="14"/>
      <c r="F90" s="14"/>
      <c r="G90" s="15" t="str">
        <f t="shared" si="16"/>
        <v>#N/A</v>
      </c>
      <c r="H90" s="15" t="str">
        <f t="shared" si="17"/>
        <v>#N/A</v>
      </c>
      <c r="I90" s="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12" t="s">
        <v>320</v>
      </c>
      <c r="B91" s="12" t="s">
        <v>297</v>
      </c>
      <c r="C91" s="13" t="s">
        <v>123</v>
      </c>
      <c r="D91" s="12" t="s">
        <v>321</v>
      </c>
      <c r="E91" s="14">
        <v>-800.0</v>
      </c>
      <c r="F91" s="14"/>
      <c r="G91" s="15" t="str">
        <f t="shared" si="16"/>
        <v>#N/A</v>
      </c>
      <c r="H91" s="15" t="str">
        <f t="shared" si="17"/>
        <v>#N/A</v>
      </c>
      <c r="I91" s="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12"/>
      <c r="B92" s="20" t="s">
        <v>186</v>
      </c>
      <c r="C92" s="21" t="s">
        <v>322</v>
      </c>
      <c r="D92" s="21"/>
      <c r="E92" s="22">
        <f t="shared" ref="E92:H92" si="18">SUM(E75:E91)</f>
        <v>-13895</v>
      </c>
      <c r="F92" s="22">
        <f t="shared" si="18"/>
        <v>19700</v>
      </c>
      <c r="G92" s="23" t="str">
        <f t="shared" si="18"/>
        <v>#N/A</v>
      </c>
      <c r="H92" s="23" t="str">
        <f t="shared" si="18"/>
        <v>#N/A</v>
      </c>
      <c r="I92" s="2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7"/>
    </row>
    <row r="93" ht="14.25" customHeight="1">
      <c r="A93" s="12"/>
      <c r="B93" s="26" t="s">
        <v>187</v>
      </c>
      <c r="C93" s="27" t="s">
        <v>322</v>
      </c>
      <c r="D93" s="27"/>
      <c r="E93" s="28"/>
      <c r="F93" s="28">
        <f>F92+E92</f>
        <v>5805</v>
      </c>
      <c r="G93" s="29"/>
      <c r="H93" s="29" t="str">
        <f>H92+G92</f>
        <v>#N/A</v>
      </c>
      <c r="I93" s="30" t="s">
        <v>243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7"/>
    </row>
    <row r="94" ht="14.25" customHeight="1">
      <c r="A94" s="12"/>
      <c r="B94" s="12"/>
      <c r="C94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94" s="12"/>
      <c r="E94" s="14"/>
      <c r="F94" s="14"/>
      <c r="G94" s="10"/>
      <c r="H94" s="34"/>
      <c r="I94" s="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12" t="s">
        <v>323</v>
      </c>
      <c r="B95" s="12" t="s">
        <v>324</v>
      </c>
      <c r="C95" s="13" t="s">
        <v>325</v>
      </c>
      <c r="D95" s="12" t="s">
        <v>278</v>
      </c>
      <c r="E95" s="14"/>
      <c r="F95" s="14">
        <v>1150.0</v>
      </c>
      <c r="G95" s="15" t="str">
        <f t="shared" ref="G95:G103" si="19">SUM(SUMIFS(GL!$C:$C,GL!$G:$G,CONCATENATE(A95,"*"),GL!$F:$F,"Refund"),SUMIFS(GL!$C:$C,GL!$G:$G,CONCATENATE(A95,"*"),GL!$F:$F,"Expense"))</f>
        <v>#N/A</v>
      </c>
      <c r="H95" s="15" t="str">
        <f t="shared" ref="H95:H103" si="20">SUMIFS(GL!$C:$C,GL!$G:$G,CONCATENATE($A95,"*"),GL!$F:$F,"Income")</f>
        <v>#N/A</v>
      </c>
      <c r="I95" s="8" t="s">
        <v>227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12" t="s">
        <v>326</v>
      </c>
      <c r="B96" s="12" t="s">
        <v>324</v>
      </c>
      <c r="C96" s="13" t="s">
        <v>325</v>
      </c>
      <c r="D96" s="12" t="s">
        <v>170</v>
      </c>
      <c r="E96" s="14">
        <v>-360.0</v>
      </c>
      <c r="F96" s="14"/>
      <c r="G96" s="15" t="str">
        <f t="shared" si="19"/>
        <v>#N/A</v>
      </c>
      <c r="H96" s="15" t="str">
        <f t="shared" si="20"/>
        <v>#N/A</v>
      </c>
      <c r="I96" s="8" t="s">
        <v>281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12" t="s">
        <v>327</v>
      </c>
      <c r="B97" s="12" t="s">
        <v>324</v>
      </c>
      <c r="C97" s="13" t="s">
        <v>325</v>
      </c>
      <c r="D97" s="12" t="s">
        <v>231</v>
      </c>
      <c r="E97" s="14"/>
      <c r="F97" s="14"/>
      <c r="G97" s="15" t="str">
        <f t="shared" si="19"/>
        <v>#N/A</v>
      </c>
      <c r="H97" s="15" t="str">
        <f t="shared" si="20"/>
        <v>#N/A</v>
      </c>
      <c r="I97" s="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12" t="s">
        <v>328</v>
      </c>
      <c r="B98" s="12" t="s">
        <v>324</v>
      </c>
      <c r="C98" s="13" t="s">
        <v>325</v>
      </c>
      <c r="D98" s="12" t="s">
        <v>269</v>
      </c>
      <c r="E98" s="14">
        <v>-100.0</v>
      </c>
      <c r="F98" s="14"/>
      <c r="G98" s="15" t="str">
        <f t="shared" si="19"/>
        <v>#N/A</v>
      </c>
      <c r="H98" s="15" t="str">
        <f t="shared" si="20"/>
        <v>#N/A</v>
      </c>
      <c r="I98" s="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12" t="s">
        <v>329</v>
      </c>
      <c r="B99" s="12" t="s">
        <v>324</v>
      </c>
      <c r="C99" s="13" t="s">
        <v>325</v>
      </c>
      <c r="D99" s="12" t="s">
        <v>234</v>
      </c>
      <c r="E99" s="14">
        <v>-100.0</v>
      </c>
      <c r="F99" s="14">
        <v>150.0</v>
      </c>
      <c r="G99" s="15" t="str">
        <f t="shared" si="19"/>
        <v>#N/A</v>
      </c>
      <c r="H99" s="15" t="str">
        <f t="shared" si="20"/>
        <v>#N/A</v>
      </c>
      <c r="I99" s="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12" t="s">
        <v>330</v>
      </c>
      <c r="B100" s="12" t="s">
        <v>324</v>
      </c>
      <c r="C100" s="13" t="s">
        <v>325</v>
      </c>
      <c r="D100" s="12" t="s">
        <v>236</v>
      </c>
      <c r="E100" s="14">
        <v>-100.0</v>
      </c>
      <c r="F100" s="14">
        <v>200.0</v>
      </c>
      <c r="G100" s="15" t="str">
        <f t="shared" si="19"/>
        <v>#N/A</v>
      </c>
      <c r="H100" s="15" t="str">
        <f t="shared" si="20"/>
        <v>#N/A</v>
      </c>
      <c r="I100" s="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12" t="s">
        <v>331</v>
      </c>
      <c r="B101" s="12" t="s">
        <v>324</v>
      </c>
      <c r="C101" s="13" t="s">
        <v>325</v>
      </c>
      <c r="D101" s="12" t="s">
        <v>240</v>
      </c>
      <c r="E101" s="14">
        <v>0.0</v>
      </c>
      <c r="F101" s="14">
        <v>0.0</v>
      </c>
      <c r="G101" s="15" t="str">
        <f t="shared" si="19"/>
        <v>#N/A</v>
      </c>
      <c r="H101" s="15" t="str">
        <f t="shared" si="20"/>
        <v>#N/A</v>
      </c>
      <c r="I101" s="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12" t="s">
        <v>332</v>
      </c>
      <c r="B102" s="12" t="s">
        <v>324</v>
      </c>
      <c r="C102" s="13" t="s">
        <v>325</v>
      </c>
      <c r="D102" s="12" t="s">
        <v>238</v>
      </c>
      <c r="E102" s="14">
        <v>-50.0</v>
      </c>
      <c r="F102" s="14"/>
      <c r="G102" s="15" t="str">
        <f t="shared" si="19"/>
        <v>#N/A</v>
      </c>
      <c r="H102" s="15" t="str">
        <f t="shared" si="20"/>
        <v>#N/A</v>
      </c>
      <c r="I102" s="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12" t="s">
        <v>333</v>
      </c>
      <c r="B103" s="12" t="s">
        <v>324</v>
      </c>
      <c r="C103" s="13" t="s">
        <v>325</v>
      </c>
      <c r="D103" s="12" t="s">
        <v>180</v>
      </c>
      <c r="E103" s="14"/>
      <c r="F103" s="14">
        <v>1000.0</v>
      </c>
      <c r="G103" s="15" t="str">
        <f t="shared" si="19"/>
        <v>#N/A</v>
      </c>
      <c r="H103" s="15" t="str">
        <f t="shared" si="20"/>
        <v>#N/A</v>
      </c>
      <c r="I103" s="8" t="s">
        <v>242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12"/>
      <c r="B104" s="20" t="s">
        <v>186</v>
      </c>
      <c r="C104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04" s="21"/>
      <c r="E104" s="22">
        <f t="shared" ref="E104:H104" si="21">SUM(E95:E103)</f>
        <v>-710</v>
      </c>
      <c r="F104" s="22">
        <f t="shared" si="21"/>
        <v>2500</v>
      </c>
      <c r="G104" s="23" t="str">
        <f t="shared" si="21"/>
        <v>#N/A</v>
      </c>
      <c r="H104" s="23" t="str">
        <f t="shared" si="21"/>
        <v>#N/A</v>
      </c>
      <c r="I104" s="2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7"/>
    </row>
    <row r="105" ht="14.25" customHeight="1">
      <c r="A105" s="12"/>
      <c r="B105" s="26" t="s">
        <v>187</v>
      </c>
      <c r="C105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05" s="27"/>
      <c r="E105" s="28"/>
      <c r="F105" s="28">
        <f>F104+E104</f>
        <v>1790</v>
      </c>
      <c r="G105" s="29"/>
      <c r="H105" s="29" t="str">
        <f>H104+G104</f>
        <v>#N/A</v>
      </c>
      <c r="I105" s="30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7"/>
    </row>
    <row r="106" ht="14.25" customHeight="1">
      <c r="A106" s="12"/>
      <c r="B106" s="12"/>
      <c r="C106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06" s="12"/>
      <c r="E106" s="14"/>
      <c r="F106" s="14"/>
      <c r="G106" s="10"/>
      <c r="H106" s="34"/>
      <c r="I106" s="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12" t="s">
        <v>334</v>
      </c>
      <c r="B107" s="12" t="s">
        <v>335</v>
      </c>
      <c r="C107" s="13" t="s">
        <v>336</v>
      </c>
      <c r="D107" s="12" t="s">
        <v>278</v>
      </c>
      <c r="E107" s="14"/>
      <c r="F107" s="14">
        <v>1150.0</v>
      </c>
      <c r="G107" s="15" t="str">
        <f t="shared" ref="G107:G115" si="22">SUM(SUMIFS(GL!$C:$C,GL!$G:$G,CONCATENATE(A107,"*"),GL!$F:$F,"Refund"),SUMIFS(GL!$C:$C,GL!$G:$G,CONCATENATE(A107,"*"),GL!$F:$F,"Expense"))</f>
        <v>#N/A</v>
      </c>
      <c r="H107" s="15" t="str">
        <f t="shared" ref="H107:H115" si="23">SUMIFS(GL!$C:$C,GL!$G:$G,CONCATENATE($A107,"*"),GL!$F:$F,"Income")</f>
        <v>#N/A</v>
      </c>
      <c r="I107" s="36" t="s">
        <v>227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12" t="s">
        <v>337</v>
      </c>
      <c r="B108" s="12" t="s">
        <v>335</v>
      </c>
      <c r="C108" s="13" t="s">
        <v>336</v>
      </c>
      <c r="D108" s="12" t="s">
        <v>170</v>
      </c>
      <c r="E108" s="14">
        <v>-360.0</v>
      </c>
      <c r="F108" s="14"/>
      <c r="G108" s="15" t="str">
        <f t="shared" si="22"/>
        <v>#N/A</v>
      </c>
      <c r="H108" s="15" t="str">
        <f t="shared" si="23"/>
        <v>#N/A</v>
      </c>
      <c r="I108" s="36" t="s">
        <v>281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12" t="s">
        <v>338</v>
      </c>
      <c r="B109" s="12" t="s">
        <v>335</v>
      </c>
      <c r="C109" s="13" t="s">
        <v>336</v>
      </c>
      <c r="D109" s="12" t="s">
        <v>231</v>
      </c>
      <c r="E109" s="14"/>
      <c r="F109" s="14"/>
      <c r="G109" s="15" t="str">
        <f t="shared" si="22"/>
        <v>#N/A</v>
      </c>
      <c r="H109" s="15" t="str">
        <f t="shared" si="23"/>
        <v>#N/A</v>
      </c>
      <c r="I109" s="3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12" t="s">
        <v>339</v>
      </c>
      <c r="B110" s="12" t="s">
        <v>335</v>
      </c>
      <c r="C110" s="13" t="s">
        <v>336</v>
      </c>
      <c r="D110" s="12" t="s">
        <v>269</v>
      </c>
      <c r="E110" s="14">
        <v>-100.0</v>
      </c>
      <c r="F110" s="14"/>
      <c r="G110" s="15" t="str">
        <f t="shared" si="22"/>
        <v>#N/A</v>
      </c>
      <c r="H110" s="15" t="str">
        <f t="shared" si="23"/>
        <v>#N/A</v>
      </c>
      <c r="I110" s="3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12" t="s">
        <v>340</v>
      </c>
      <c r="B111" s="12" t="s">
        <v>335</v>
      </c>
      <c r="C111" s="13" t="s">
        <v>336</v>
      </c>
      <c r="D111" s="12" t="s">
        <v>234</v>
      </c>
      <c r="E111" s="14">
        <v>-100.0</v>
      </c>
      <c r="F111" s="14">
        <v>150.0</v>
      </c>
      <c r="G111" s="15" t="str">
        <f t="shared" si="22"/>
        <v>#N/A</v>
      </c>
      <c r="H111" s="15" t="str">
        <f t="shared" si="23"/>
        <v>#N/A</v>
      </c>
      <c r="I111" s="3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12" t="s">
        <v>341</v>
      </c>
      <c r="B112" s="12" t="s">
        <v>335</v>
      </c>
      <c r="C112" s="13" t="s">
        <v>336</v>
      </c>
      <c r="D112" s="12" t="s">
        <v>236</v>
      </c>
      <c r="E112" s="14">
        <v>-100.0</v>
      </c>
      <c r="F112" s="14">
        <v>200.0</v>
      </c>
      <c r="G112" s="15" t="str">
        <f t="shared" si="22"/>
        <v>#N/A</v>
      </c>
      <c r="H112" s="15" t="str">
        <f t="shared" si="23"/>
        <v>#N/A</v>
      </c>
      <c r="I112" s="3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12" t="s">
        <v>342</v>
      </c>
      <c r="B113" s="12" t="s">
        <v>335</v>
      </c>
      <c r="C113" s="13" t="s">
        <v>336</v>
      </c>
      <c r="D113" s="12" t="s">
        <v>238</v>
      </c>
      <c r="E113" s="14">
        <v>-50.0</v>
      </c>
      <c r="F113" s="14"/>
      <c r="G113" s="15" t="str">
        <f t="shared" si="22"/>
        <v>#N/A</v>
      </c>
      <c r="H113" s="15" t="str">
        <f t="shared" si="23"/>
        <v>#N/A</v>
      </c>
      <c r="I113" s="3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12" t="s">
        <v>343</v>
      </c>
      <c r="B114" s="12" t="s">
        <v>335</v>
      </c>
      <c r="C114" s="13" t="s">
        <v>336</v>
      </c>
      <c r="D114" s="12" t="s">
        <v>240</v>
      </c>
      <c r="E114" s="14"/>
      <c r="F114" s="14">
        <v>0.0</v>
      </c>
      <c r="G114" s="15" t="str">
        <f t="shared" si="22"/>
        <v>#N/A</v>
      </c>
      <c r="H114" s="15" t="str">
        <f t="shared" si="23"/>
        <v>#N/A</v>
      </c>
      <c r="I114" s="3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12" t="s">
        <v>344</v>
      </c>
      <c r="B115" s="12" t="s">
        <v>335</v>
      </c>
      <c r="C115" s="13" t="s">
        <v>336</v>
      </c>
      <c r="D115" s="12" t="s">
        <v>180</v>
      </c>
      <c r="E115" s="14"/>
      <c r="F115" s="14">
        <v>500.0</v>
      </c>
      <c r="G115" s="15" t="str">
        <f t="shared" si="22"/>
        <v>#N/A</v>
      </c>
      <c r="H115" s="15" t="str">
        <f t="shared" si="23"/>
        <v>#N/A</v>
      </c>
      <c r="I115" s="36" t="s">
        <v>345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12"/>
      <c r="B116" s="20" t="s">
        <v>186</v>
      </c>
      <c r="C116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16" s="21"/>
      <c r="E116" s="22">
        <f t="shared" ref="E116:H116" si="24">SUM(E107:E115)</f>
        <v>-710</v>
      </c>
      <c r="F116" s="22">
        <f t="shared" si="24"/>
        <v>2000</v>
      </c>
      <c r="G116" s="23" t="str">
        <f t="shared" si="24"/>
        <v>#N/A</v>
      </c>
      <c r="H116" s="23" t="str">
        <f t="shared" si="24"/>
        <v>#N/A</v>
      </c>
      <c r="I116" s="2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7"/>
    </row>
    <row r="117" ht="14.25" customHeight="1">
      <c r="A117" s="12"/>
      <c r="B117" s="26" t="s">
        <v>187</v>
      </c>
      <c r="C117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17" s="27"/>
      <c r="E117" s="28"/>
      <c r="F117" s="28">
        <f>F116+E116</f>
        <v>1290</v>
      </c>
      <c r="G117" s="29"/>
      <c r="H117" s="29" t="str">
        <f>H116+G116</f>
        <v>#N/A</v>
      </c>
      <c r="I117" s="30" t="s">
        <v>243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7"/>
    </row>
    <row r="118" ht="14.25" customHeight="1">
      <c r="A118" s="12"/>
      <c r="B118" s="12"/>
      <c r="C118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18" s="12"/>
      <c r="E118" s="14"/>
      <c r="F118" s="14"/>
      <c r="G118" s="15"/>
      <c r="H118" s="37"/>
      <c r="I118" s="3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12" t="s">
        <v>346</v>
      </c>
      <c r="B119" s="12" t="s">
        <v>79</v>
      </c>
      <c r="C119" s="38" t="s">
        <v>347</v>
      </c>
      <c r="D119" s="12" t="s">
        <v>348</v>
      </c>
      <c r="E119" s="14">
        <v>-200.0</v>
      </c>
      <c r="F119" s="14"/>
      <c r="G119" s="15" t="str">
        <f t="shared" ref="G119:G126" si="25">SUM(SUMIFS(GL!$C:$C,GL!$G:$G,CONCATENATE(A119,"*"),GL!$F:$F,"Refund"),SUMIFS(GL!$C:$C,GL!$G:$G,CONCATENATE(A119,"*"),GL!$F:$F,"Expense"))</f>
        <v>#N/A</v>
      </c>
      <c r="H119" s="15" t="str">
        <f t="shared" ref="H119:H126" si="26">SUMIFS(GL!$C:$C,GL!$G:$G,CONCATENATE($A119,"*"),GL!$F:$F,"Income")</f>
        <v>#N/A</v>
      </c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12" t="s">
        <v>349</v>
      </c>
      <c r="B120" s="12" t="s">
        <v>79</v>
      </c>
      <c r="C120" s="39" t="s">
        <v>350</v>
      </c>
      <c r="D120" s="12" t="s">
        <v>351</v>
      </c>
      <c r="E120" s="14">
        <v>-750.0</v>
      </c>
      <c r="F120" s="14"/>
      <c r="G120" s="15" t="str">
        <f t="shared" si="25"/>
        <v>#N/A</v>
      </c>
      <c r="H120" s="15" t="str">
        <f t="shared" si="26"/>
        <v>#N/A</v>
      </c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12" t="s">
        <v>352</v>
      </c>
      <c r="B121" s="12" t="s">
        <v>79</v>
      </c>
      <c r="C121" s="39" t="s">
        <v>350</v>
      </c>
      <c r="D121" s="12" t="s">
        <v>353</v>
      </c>
      <c r="E121" s="14">
        <v>-500.0</v>
      </c>
      <c r="F121" s="14"/>
      <c r="G121" s="15" t="str">
        <f t="shared" si="25"/>
        <v>#N/A</v>
      </c>
      <c r="H121" s="15" t="str">
        <f t="shared" si="26"/>
        <v>#N/A</v>
      </c>
      <c r="I121" s="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12" t="s">
        <v>354</v>
      </c>
      <c r="B122" s="12" t="s">
        <v>79</v>
      </c>
      <c r="C122" s="39" t="s">
        <v>350</v>
      </c>
      <c r="D122" s="12" t="s">
        <v>355</v>
      </c>
      <c r="E122" s="14">
        <v>-5000.0</v>
      </c>
      <c r="F122" s="14"/>
      <c r="G122" s="15" t="str">
        <f t="shared" si="25"/>
        <v>#N/A</v>
      </c>
      <c r="H122" s="15" t="str">
        <f t="shared" si="26"/>
        <v>#N/A</v>
      </c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12" t="s">
        <v>356</v>
      </c>
      <c r="B123" s="12" t="s">
        <v>79</v>
      </c>
      <c r="C123" s="38" t="s">
        <v>347</v>
      </c>
      <c r="D123" s="12" t="s">
        <v>357</v>
      </c>
      <c r="E123" s="14">
        <v>-100.0</v>
      </c>
      <c r="F123" s="14"/>
      <c r="G123" s="15" t="str">
        <f t="shared" si="25"/>
        <v>#N/A</v>
      </c>
      <c r="H123" s="15" t="str">
        <f t="shared" si="26"/>
        <v>#N/A</v>
      </c>
      <c r="I123" s="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12" t="s">
        <v>358</v>
      </c>
      <c r="B124" s="12" t="s">
        <v>79</v>
      </c>
      <c r="C124" s="39" t="s">
        <v>350</v>
      </c>
      <c r="D124" s="12" t="s">
        <v>359</v>
      </c>
      <c r="E124" s="14">
        <v>-1000.0</v>
      </c>
      <c r="F124" s="14"/>
      <c r="G124" s="15" t="str">
        <f t="shared" si="25"/>
        <v>#N/A</v>
      </c>
      <c r="H124" s="15" t="str">
        <f t="shared" si="26"/>
        <v>#N/A</v>
      </c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12" t="s">
        <v>360</v>
      </c>
      <c r="B125" s="12" t="s">
        <v>79</v>
      </c>
      <c r="C125" s="39" t="s">
        <v>361</v>
      </c>
      <c r="D125" s="12" t="s">
        <v>362</v>
      </c>
      <c r="E125" s="14">
        <v>-700.0</v>
      </c>
      <c r="F125" s="14">
        <v>700.0</v>
      </c>
      <c r="G125" s="15" t="str">
        <f t="shared" si="25"/>
        <v>#N/A</v>
      </c>
      <c r="H125" s="15" t="str">
        <f t="shared" si="26"/>
        <v>#N/A</v>
      </c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12" t="s">
        <v>363</v>
      </c>
      <c r="B126" s="12" t="s">
        <v>79</v>
      </c>
      <c r="C126" s="39" t="s">
        <v>364</v>
      </c>
      <c r="D126" s="12"/>
      <c r="E126" s="12"/>
      <c r="F126" s="12"/>
      <c r="G126" s="15" t="str">
        <f t="shared" si="25"/>
        <v>#N/A</v>
      </c>
      <c r="H126" s="40" t="str">
        <f t="shared" si="26"/>
        <v>#N/A</v>
      </c>
      <c r="I126" s="1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12"/>
      <c r="B127" s="20" t="s">
        <v>186</v>
      </c>
      <c r="C127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27" s="21"/>
      <c r="E127" s="22">
        <f>SUM(E119:E125)</f>
        <v>-8250</v>
      </c>
      <c r="F127" s="22">
        <f>SUM(F125)</f>
        <v>700</v>
      </c>
      <c r="G127" s="23" t="str">
        <f t="shared" ref="G127:H127" si="27">SUM(G118:G126)</f>
        <v>#N/A</v>
      </c>
      <c r="H127" s="23" t="str">
        <f t="shared" si="27"/>
        <v>#N/A</v>
      </c>
      <c r="I127" s="2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7"/>
    </row>
    <row r="128" ht="14.25" customHeight="1">
      <c r="A128" s="12"/>
      <c r="B128" s="26" t="s">
        <v>187</v>
      </c>
      <c r="C128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28" s="27"/>
      <c r="E128" s="28"/>
      <c r="F128" s="28">
        <f>F127+E127</f>
        <v>-7550</v>
      </c>
      <c r="G128" s="29"/>
      <c r="H128" s="29" t="str">
        <f>H127+G127</f>
        <v>#N/A</v>
      </c>
      <c r="I128" s="30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7"/>
    </row>
    <row r="129" ht="14.25" customHeight="1">
      <c r="A129" s="12"/>
      <c r="B129" s="12"/>
      <c r="C129" s="12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29" s="12"/>
      <c r="E129" s="9"/>
      <c r="F129" s="9"/>
      <c r="G129" s="15"/>
      <c r="H129" s="37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12" t="s">
        <v>365</v>
      </c>
      <c r="B130" s="12" t="s">
        <v>366</v>
      </c>
      <c r="C130" s="41" t="s">
        <v>367</v>
      </c>
      <c r="D130" s="12" t="s">
        <v>368</v>
      </c>
      <c r="E130" s="14">
        <v>-1000.0</v>
      </c>
      <c r="F130" s="14"/>
      <c r="G130" s="15" t="str">
        <f t="shared" ref="G130:G136" si="28">SUM(SUMIFS(GL!$C:$C,GL!$G:$G,CONCATENATE(A130,"*"),GL!$F:$F,"Refund"),SUMIFS(GL!$C:$C,GL!$G:$G,CONCATENATE(A130,"*"),GL!$F:$F,"Expense"))</f>
        <v>#N/A</v>
      </c>
      <c r="H130" s="15" t="str">
        <f t="shared" ref="H130:H136" si="29">SUMIFS(GL!$C:$C,GL!$G:$G,CONCATENATE($A130,"*"),GL!$F:$F,"Income")</f>
        <v>#N/A</v>
      </c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12" t="s">
        <v>369</v>
      </c>
      <c r="B131" s="12" t="s">
        <v>366</v>
      </c>
      <c r="C131" s="41" t="s">
        <v>367</v>
      </c>
      <c r="D131" s="12" t="s">
        <v>370</v>
      </c>
      <c r="E131" s="14">
        <v>-5500.0</v>
      </c>
      <c r="F131" s="14"/>
      <c r="G131" s="15" t="str">
        <f t="shared" si="28"/>
        <v>#N/A</v>
      </c>
      <c r="H131" s="15" t="str">
        <f t="shared" si="29"/>
        <v>#N/A</v>
      </c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12" t="s">
        <v>371</v>
      </c>
      <c r="B132" s="12" t="s">
        <v>366</v>
      </c>
      <c r="C132" s="41" t="s">
        <v>367</v>
      </c>
      <c r="D132" s="12" t="s">
        <v>372</v>
      </c>
      <c r="E132" s="14">
        <v>-500.0</v>
      </c>
      <c r="F132" s="14"/>
      <c r="G132" s="15" t="str">
        <f t="shared" si="28"/>
        <v>#N/A</v>
      </c>
      <c r="H132" s="15" t="str">
        <f t="shared" si="29"/>
        <v>#N/A</v>
      </c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12" t="s">
        <v>373</v>
      </c>
      <c r="B133" s="12" t="s">
        <v>366</v>
      </c>
      <c r="C133" s="41" t="s">
        <v>367</v>
      </c>
      <c r="D133" s="12" t="s">
        <v>374</v>
      </c>
      <c r="E133" s="14">
        <v>-700.0</v>
      </c>
      <c r="F133" s="14"/>
      <c r="G133" s="15" t="str">
        <f t="shared" si="28"/>
        <v>#N/A</v>
      </c>
      <c r="H133" s="15" t="str">
        <f t="shared" si="29"/>
        <v>#N/A</v>
      </c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12" t="s">
        <v>375</v>
      </c>
      <c r="B134" s="12" t="s">
        <v>366</v>
      </c>
      <c r="C134" s="41" t="s">
        <v>367</v>
      </c>
      <c r="D134" s="12" t="s">
        <v>376</v>
      </c>
      <c r="E134" s="14">
        <v>-300.0</v>
      </c>
      <c r="F134" s="14"/>
      <c r="G134" s="15" t="str">
        <f t="shared" si="28"/>
        <v>#N/A</v>
      </c>
      <c r="H134" s="15" t="str">
        <f t="shared" si="29"/>
        <v>#N/A</v>
      </c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12" t="s">
        <v>377</v>
      </c>
      <c r="B135" s="12" t="s">
        <v>366</v>
      </c>
      <c r="C135" s="41" t="s">
        <v>367</v>
      </c>
      <c r="D135" s="12" t="s">
        <v>378</v>
      </c>
      <c r="E135" s="14">
        <v>-500.0</v>
      </c>
      <c r="F135" s="14"/>
      <c r="G135" s="15" t="str">
        <f t="shared" si="28"/>
        <v>#N/A</v>
      </c>
      <c r="H135" s="15" t="str">
        <f t="shared" si="29"/>
        <v>#N/A</v>
      </c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12" t="s">
        <v>379</v>
      </c>
      <c r="B136" s="12" t="s">
        <v>366</v>
      </c>
      <c r="C136" s="41" t="s">
        <v>367</v>
      </c>
      <c r="D136" s="12" t="s">
        <v>380</v>
      </c>
      <c r="E136" s="14">
        <v>-100.0</v>
      </c>
      <c r="F136" s="14"/>
      <c r="G136" s="15" t="str">
        <f t="shared" si="28"/>
        <v>#N/A</v>
      </c>
      <c r="H136" s="15" t="str">
        <f t="shared" si="29"/>
        <v>#N/A</v>
      </c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42"/>
      <c r="B137" s="20" t="s">
        <v>186</v>
      </c>
      <c r="C137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37" s="21"/>
      <c r="E137" s="22">
        <f>SUM(E130:E136)</f>
        <v>-8600</v>
      </c>
      <c r="F137" s="22">
        <f>SUM(F129:F136)</f>
        <v>0</v>
      </c>
      <c r="G137" s="23" t="str">
        <f t="shared" ref="G137:H137" si="30">SUM(G130:G136)</f>
        <v>#N/A</v>
      </c>
      <c r="H137" s="23" t="str">
        <f t="shared" si="30"/>
        <v>#N/A</v>
      </c>
      <c r="I137" s="2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7"/>
    </row>
    <row r="138" ht="14.25" customHeight="1">
      <c r="A138" s="42"/>
      <c r="B138" s="26" t="s">
        <v>187</v>
      </c>
      <c r="C138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38" s="27"/>
      <c r="E138" s="28"/>
      <c r="F138" s="28">
        <f>F137+E137</f>
        <v>-8600</v>
      </c>
      <c r="G138" s="29"/>
      <c r="H138" s="29" t="str">
        <f>H137+G137</f>
        <v>#N/A</v>
      </c>
      <c r="I138" s="30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7"/>
    </row>
    <row r="139" ht="14.25" customHeight="1">
      <c r="A139" s="43"/>
      <c r="B139" s="12"/>
      <c r="C139" s="4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39" s="12"/>
      <c r="E139" s="14"/>
      <c r="F139" s="14"/>
      <c r="G139" s="10"/>
      <c r="H139" s="34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42"/>
      <c r="B140" s="20" t="s">
        <v>381</v>
      </c>
      <c r="C140" s="2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40" s="21"/>
      <c r="E140" s="22">
        <f t="shared" ref="E140:H140" si="31">E137+E127+E116+E104+E92+E72+E60+E41+E29+E12</f>
        <v>-47984.95</v>
      </c>
      <c r="F140" s="22">
        <f t="shared" si="31"/>
        <v>51493.75</v>
      </c>
      <c r="G140" s="23" t="str">
        <f t="shared" si="31"/>
        <v>#N/A</v>
      </c>
      <c r="H140" s="23" t="str">
        <f t="shared" si="31"/>
        <v>#N/A</v>
      </c>
      <c r="I140" s="4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7"/>
    </row>
    <row r="141" ht="14.25" customHeight="1">
      <c r="A141" s="42"/>
      <c r="B141" s="26" t="s">
        <v>187</v>
      </c>
      <c r="C141" s="27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D141" s="27"/>
      <c r="E141" s="28"/>
      <c r="F141" s="28">
        <f>F140+E140</f>
        <v>3508.8</v>
      </c>
      <c r="G141" s="29"/>
      <c r="H141" s="29" t="str">
        <f>H140+G140</f>
        <v>#N/A</v>
      </c>
      <c r="I141" s="30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1">
    <mergeCell ref="A1:I1"/>
  </mergeCells>
  <printOptions/>
  <pageMargins bottom="0.75" footer="0.0" header="0.0" left="0.7" right="0.7" top="0.75"/>
  <pageSetup fitToHeight="0" orientation="landscape"/>
  <drawing r:id="rId1"/>
</worksheet>
</file>